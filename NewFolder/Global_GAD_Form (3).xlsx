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hyelleti\Downloads\"/>
    </mc:Choice>
  </mc:AlternateContent>
  <xr:revisionPtr revIDLastSave="0" documentId="13_ncr:1_{5BB26925-859F-4818-AB67-113B1E56B5B1}" xr6:coauthVersionLast="47" xr6:coauthVersionMax="47" xr10:uidLastSave="{00000000-0000-0000-0000-000000000000}"/>
  <bookViews>
    <workbookView xWindow="-110" yWindow="-110" windowWidth="19420" windowHeight="11500" tabRatio="933" firstSheet="2" activeTab="5" xr2:uid="{00000000-000D-0000-FFFF-FFFF00000000}"/>
  </bookViews>
  <sheets>
    <sheet name="CreateUser" sheetId="19" r:id="rId1"/>
    <sheet name="ModifyUser" sheetId="20" r:id="rId2"/>
    <sheet name="O365Licence" sheetId="21" r:id="rId3"/>
    <sheet name="Dropdowns" sheetId="13" state="hidden" r:id="rId4"/>
    <sheet name="CreateGroup" sheetId="3" r:id="rId5"/>
    <sheet name="ModifyGroup" sheetId="4" r:id="rId6"/>
    <sheet name="Suspend" sheetId="5" r:id="rId7"/>
    <sheet name="ResetPwd" sheetId="6" r:id="rId8"/>
    <sheet name="ProlongPwd" sheetId="7" r:id="rId9"/>
    <sheet name="Folder Permissions" sheetId="9" r:id="rId10"/>
    <sheet name="Reporting" sheetId="10" r:id="rId11"/>
    <sheet name="GroupMigrations " sheetId="12" r:id="rId12"/>
    <sheet name="UserMigrations" sheetId="18" r:id="rId13"/>
    <sheet name="ServiceAccountMigrations" sheetId="17" r:id="rId14"/>
    <sheet name="DeleteGroup" sheetId="11" r:id="rId15"/>
    <sheet name="Version control" sheetId="16" state="hidden" r:id="rId16"/>
    <sheet name="Control-Version-Change" sheetId="8" state="hidden" r:id="rId17"/>
  </sheets>
  <definedNames>
    <definedName name="_xlnm._FilterDatabase" localSheetId="4" hidden="1">CreateGroup!$A$3:$P$3</definedName>
    <definedName name="_xlnm._FilterDatabase" localSheetId="3" hidden="1">Dropdowns!#REF!</definedName>
    <definedName name="_Toc254508019" localSheetId="16">'Control-Version-Change'!$B$3</definedName>
    <definedName name="Administrator">Dropdowns!#REF!</definedName>
    <definedName name="Application">Dropdowns!#REF!</definedName>
    <definedName name="AWS">Dropdowns!#REF!</definedName>
    <definedName name="Azure">Dropdowns!#REF!</definedName>
    <definedName name="Compliance">Dropdowns!#REF!</definedName>
    <definedName name="_xlnm.Database">Dropdowns!#REF!</definedName>
    <definedName name="Firewall">Dropdowns!#REF!</definedName>
    <definedName name="GPO">Dropdowns!#REF!</definedName>
    <definedName name="GroupUsageDropDown">#REF!</definedName>
    <definedName name="NTF_Permissions">Dropdowns!#REF!</definedName>
    <definedName name="Organization">Dropdowns!#REF!</definedName>
    <definedName name="Other">Dropdowns!#REF!</definedName>
    <definedName name="Printer">Dropdowns!#REF!</definedName>
    <definedName name="Remote_Desktop">Dropdowns!#REF!</definedName>
    <definedName name="Role_Based_Access">Dropdowns!#REF!</definedName>
    <definedName name="Server">Dropdowns!#REF!</definedName>
    <definedName name="SharePoint">Dropdowns!#REF!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5" i="4" l="1"/>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4" i="4"/>
  <c r="U305" i="4"/>
  <c r="U304" i="4"/>
  <c r="U303" i="4"/>
  <c r="U302" i="4"/>
  <c r="U301" i="4"/>
  <c r="U300" i="4"/>
  <c r="U299" i="4"/>
  <c r="U298" i="4"/>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l="1"/>
  <c r="K303" i="3"/>
  <c r="K304" i="3"/>
  <c r="K30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tc={E1B2E23B-75C5-4403-9834-0376F3F9CE70}</author>
  </authors>
  <commentList>
    <comment ref="F7" authorId="0" shapeId="0" xr:uid="{E1B2E23B-75C5-4403-9834-0376F3F9CE70}">
      <text>
        <t>[Threaded comment]
Your version of Excel allows you to read this threaded comment; however, any edits to it will get removed if the file is opened in a newer version of Excel. Learn more: https://go.microsoft.com/fwlink/?linkid=870924
Comment:
    If you select yes to this column - the user ID in Azure will be deleted via a change to an AD attribute.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Gerard Crowley</author>
  </authors>
  <commentList>
    <comment ref="A4" authorId="0" shapeId="0" xr:uid="{00000000-0006-0000-0800-000001000000}">
      <text>
        <r>
          <rPr>
            <b/>
            <sz val="9"/>
            <color indexed="81"/>
            <rFont val="Tahoma"/>
            <family val="2"/>
          </rPr>
          <t>Note:</t>
        </r>
        <r>
          <rPr>
            <sz val="9"/>
            <color indexed="81"/>
            <rFont val="Tahoma"/>
            <family val="2"/>
          </rPr>
          <t xml:space="preserve">
This row is an example of how the form should be filled in.</t>
        </r>
      </text>
    </comment>
    <comment ref="B4" authorId="0" shapeId="0" xr:uid="{00000000-0006-0000-0800-000002000000}">
      <text>
        <r>
          <rPr>
            <b/>
            <sz val="9"/>
            <color indexed="81"/>
            <rFont val="Tahoma"/>
            <family val="2"/>
          </rPr>
          <t xml:space="preserve">Note:
</t>
        </r>
        <r>
          <rPr>
            <sz val="9"/>
            <color indexed="81"/>
            <rFont val="Tahoma"/>
            <family val="2"/>
          </rPr>
          <t>This row is an example of how the form should be filled in.</t>
        </r>
      </text>
    </comment>
    <comment ref="C4" authorId="0" shapeId="0" xr:uid="{00000000-0006-0000-0800-000003000000}">
      <text>
        <r>
          <rPr>
            <b/>
            <sz val="9"/>
            <color indexed="81"/>
            <rFont val="Tahoma"/>
            <family val="2"/>
          </rPr>
          <t>Note:</t>
        </r>
        <r>
          <rPr>
            <sz val="9"/>
            <color indexed="81"/>
            <rFont val="Tahoma"/>
            <family val="2"/>
          </rPr>
          <t xml:space="preserve">
This row is an example of how the form should be filled in.</t>
        </r>
      </text>
    </comment>
  </commentList>
</comments>
</file>

<file path=xl/sharedStrings.xml><?xml version="1.0" encoding="utf-8"?>
<sst xmlns="http://schemas.openxmlformats.org/spreadsheetml/2006/main" count="641" uniqueCount="400">
  <si>
    <t>AccountType</t>
  </si>
  <si>
    <t>Name</t>
  </si>
  <si>
    <t>Description</t>
  </si>
  <si>
    <t>sAMAccountName</t>
  </si>
  <si>
    <t>FirstName</t>
  </si>
  <si>
    <t>givenName</t>
  </si>
  <si>
    <t>LastName</t>
  </si>
  <si>
    <t>sn</t>
  </si>
  <si>
    <t>ISO Country code</t>
  </si>
  <si>
    <t>c</t>
  </si>
  <si>
    <t>mail</t>
  </si>
  <si>
    <t>company</t>
  </si>
  <si>
    <t>employeeType</t>
  </si>
  <si>
    <t>MiddleName</t>
  </si>
  <si>
    <t>initials</t>
  </si>
  <si>
    <t>description</t>
  </si>
  <si>
    <t>Name (LogonID)</t>
  </si>
  <si>
    <t>Domain
(NETBIOS Name)</t>
  </si>
  <si>
    <t>ldap name</t>
  </si>
  <si>
    <t>CustomAttribute1</t>
  </si>
  <si>
    <t>CustomAttribute2</t>
  </si>
  <si>
    <r>
      <t xml:space="preserve">Name (LogonID)
</t>
    </r>
    <r>
      <rPr>
        <sz val="10"/>
        <color indexed="10"/>
        <rFont val="Arial"/>
        <family val="2"/>
      </rPr>
      <t>For PA-C.. Accounts only</t>
    </r>
  </si>
  <si>
    <t>CustomAttributeX</t>
  </si>
  <si>
    <t>Owner</t>
  </si>
  <si>
    <t>GroupType 
L: Local
G: Global
U:Universal</t>
  </si>
  <si>
    <t>groupType</t>
  </si>
  <si>
    <t>employeeID</t>
  </si>
  <si>
    <t>User's HR ID</t>
  </si>
  <si>
    <t>SMTP email address</t>
  </si>
  <si>
    <t>REMOVE member
Domain\SamAccontName (delimited by ';')
'*' to remove all</t>
  </si>
  <si>
    <t>DomainNBName</t>
  </si>
  <si>
    <t>REM memberOf</t>
  </si>
  <si>
    <t>ADD memberOf</t>
  </si>
  <si>
    <t>ADD member</t>
  </si>
  <si>
    <t>REM member</t>
  </si>
  <si>
    <t>displayName</t>
  </si>
  <si>
    <t>Attribute1</t>
  </si>
  <si>
    <t>Attribute2</t>
  </si>
  <si>
    <t>AttributeX</t>
  </si>
  <si>
    <t>REMOVE from
Domain\SamAccontName (delimited by ';')
'*' to remove all</t>
  </si>
  <si>
    <t>Add to group (Make memberOf)
Domain\SamAccontName (delimited by ';')</t>
  </si>
  <si>
    <t>Add member
Domain\SamAccontName (delimited by ';')</t>
  </si>
  <si>
    <t>Nesting (Make memberOf)
Domain\SamAccontName (delimited by ';')</t>
  </si>
  <si>
    <t>Remove nesting (Remove memberOf)
Domain\SamAccontName (delimited by ';')</t>
  </si>
  <si>
    <t>zLegacyUID</t>
  </si>
  <si>
    <t>Users LogonID in the Legacy Domain (If present)</t>
  </si>
  <si>
    <t>memberOf</t>
  </si>
  <si>
    <t>member</t>
  </si>
  <si>
    <t>NewPwd</t>
  </si>
  <si>
    <t>New Password</t>
  </si>
  <si>
    <t>Document Management Information</t>
  </si>
  <si>
    <t>Issue Details</t>
  </si>
  <si>
    <t>Release Date</t>
  </si>
  <si>
    <t>Version No.</t>
  </si>
  <si>
    <t>Revision Date</t>
  </si>
  <si>
    <t>Particulars</t>
  </si>
  <si>
    <t>Approved by</t>
  </si>
  <si>
    <t>1.0</t>
  </si>
  <si>
    <t>Document Contact Details</t>
  </si>
  <si>
    <t>Role</t>
  </si>
  <si>
    <t>Designation</t>
  </si>
  <si>
    <t>Prepared by</t>
  </si>
  <si>
    <t>Ivan Menendez Perez</t>
  </si>
  <si>
    <t>Zürich GAD &amp; Security Engineering</t>
  </si>
  <si>
    <t>Reviewer</t>
  </si>
  <si>
    <t>Distribution List</t>
  </si>
  <si>
    <t>Reference Documents</t>
  </si>
  <si>
    <t>Document Name</t>
  </si>
  <si>
    <t>Document Number</t>
  </si>
  <si>
    <r>
      <t xml:space="preserve">Document Title: </t>
    </r>
    <r>
      <rPr>
        <sz val="10"/>
        <rFont val="Verdana"/>
        <family val="2"/>
      </rPr>
      <t>[ ZURICH ] - AD BATCH DATA TEMPLATE</t>
    </r>
  </si>
  <si>
    <r>
      <t xml:space="preserve">Document Status: </t>
    </r>
    <r>
      <rPr>
        <sz val="10"/>
        <rFont val="Verdana"/>
        <family val="2"/>
      </rPr>
      <t>Consolidated</t>
    </r>
  </si>
  <si>
    <t>October-2011</t>
  </si>
  <si>
    <t>Zurich GAD Engineering &amp; Zurich Gad Admin</t>
  </si>
  <si>
    <t>Amendment History</t>
  </si>
  <si>
    <t>Quality process approved (CreateUser Worksheet modified as requested)</t>
  </si>
  <si>
    <t>Amended By</t>
  </si>
  <si>
    <t>AD BATCH DATA TEMPLATE</t>
  </si>
  <si>
    <t>n/a</t>
  </si>
  <si>
    <t>zurAzureSync</t>
  </si>
  <si>
    <t>Populated with APUID of the owner’s standard account</t>
  </si>
  <si>
    <t>Does group need to be syched to Azure?</t>
  </si>
  <si>
    <t>CustomAttributex</t>
  </si>
  <si>
    <t xml:space="preserve">pamOwnerAPUID  </t>
  </si>
  <si>
    <t>pamObjectType\adminDescription</t>
  </si>
  <si>
    <t>Action</t>
  </si>
  <si>
    <t>Permission</t>
  </si>
  <si>
    <t>Add</t>
  </si>
  <si>
    <t>Read/Write/Modify</t>
  </si>
  <si>
    <t>Permission Level</t>
  </si>
  <si>
    <t xml:space="preserve">GAD group action </t>
  </si>
  <si>
    <t xml:space="preserve">Additional Comments </t>
  </si>
  <si>
    <t xml:space="preserve">Group Name </t>
  </si>
  <si>
    <t>\\FullShareName\Example\Example folder</t>
  </si>
  <si>
    <t>Yes</t>
  </si>
  <si>
    <t>Should all folders below have the same permissions?</t>
  </si>
  <si>
    <t>Remove all other access groups from this folder ?</t>
  </si>
  <si>
    <t>Inherit Permissions</t>
  </si>
  <si>
    <t xml:space="preserve">Restrict Folder </t>
  </si>
  <si>
    <t>Share Path</t>
  </si>
  <si>
    <t>Any other relevant information</t>
  </si>
  <si>
    <t>Ezcorp</t>
  </si>
  <si>
    <t>CEGSEC_Example_GAD_GROUP</t>
  </si>
  <si>
    <t>\\wpsfukserver\HR_Folder\HR_data</t>
  </si>
  <si>
    <t xml:space="preserve"> </t>
  </si>
  <si>
    <t>pamOwnerApuid</t>
  </si>
  <si>
    <r>
      <t xml:space="preserve">This tab is for </t>
    </r>
    <r>
      <rPr>
        <b/>
        <sz val="14"/>
        <color indexed="13"/>
        <rFont val="Arial"/>
        <family val="2"/>
      </rPr>
      <t>UK and Spain fileshares only</t>
    </r>
    <r>
      <rPr>
        <sz val="14"/>
        <color indexed="9"/>
        <rFont val="Arial"/>
        <family val="2"/>
      </rPr>
      <t>. Please ensure the information entered is correct and that the data owner's approval is attached to your ServiceNow request. 
For more information about the below,  please see the "</t>
    </r>
    <r>
      <rPr>
        <sz val="14"/>
        <color indexed="13"/>
        <rFont val="Arial"/>
        <family val="2"/>
      </rPr>
      <t>Global GAD Form Instructions</t>
    </r>
    <r>
      <rPr>
        <sz val="14"/>
        <color indexed="9"/>
        <rFont val="Arial"/>
        <family val="2"/>
      </rPr>
      <t>" document on the "</t>
    </r>
    <r>
      <rPr>
        <sz val="14"/>
        <color indexed="13"/>
        <rFont val="Arial"/>
        <family val="2"/>
      </rPr>
      <t>IAS-Global GAD</t>
    </r>
    <r>
      <rPr>
        <sz val="14"/>
        <color indexed="9"/>
        <rFont val="Arial"/>
        <family val="2"/>
      </rPr>
      <t>" item within ServiceNow.</t>
    </r>
  </si>
  <si>
    <t>ManagedBy/zOwner</t>
  </si>
  <si>
    <t>Group or User</t>
  </si>
  <si>
    <t>Group</t>
  </si>
  <si>
    <t>CEGSEC_Example_Group</t>
  </si>
  <si>
    <t>Please provide all members and their email addresses</t>
  </si>
  <si>
    <t>Name of Group or User</t>
  </si>
  <si>
    <t>Description of what is required in report</t>
  </si>
  <si>
    <t>Domain</t>
  </si>
  <si>
    <t>Yes/No</t>
  </si>
  <si>
    <t>OU</t>
  </si>
  <si>
    <t>No</t>
  </si>
  <si>
    <t>zurich.com/AMER/Canada/ZNA/Service Accounts</t>
  </si>
  <si>
    <t>zurich.com/AMER/United_States/Farmers/Service Accounts</t>
  </si>
  <si>
    <t>zurich.com/AMER/United_States/ZNA/Service Accounts</t>
  </si>
  <si>
    <t>zurich.com/APAC/Australia/Service Accounts</t>
  </si>
  <si>
    <t>zurich.com/APAC/China/Service Accounts</t>
  </si>
  <si>
    <t>zurich.com/APAC/Hong Kong/Service Accounts</t>
  </si>
  <si>
    <t>zurich.com/APAC/India/Service Accounts</t>
  </si>
  <si>
    <t>zurich.com/APAC/Indonesia/Service Accounts</t>
  </si>
  <si>
    <t>zurich.com/APAC/Japan/Service Accounts</t>
  </si>
  <si>
    <t>zurich.com/APAC/Malaysia/Service Accounts</t>
  </si>
  <si>
    <t>zurich.com/APAC/Taiwan/Service Accounts</t>
  </si>
  <si>
    <t>zurich.com/EMEA/Austria/Service Accounts</t>
  </si>
  <si>
    <t>zurich.com/EMEA/Bahrain/Service Accounts</t>
  </si>
  <si>
    <t>zurich.com/EMEA/Belgium/Service Accounts</t>
  </si>
  <si>
    <t>zurich.com/EMEA/Bermuda/Service Accounts</t>
  </si>
  <si>
    <t>zurich.com/EMEA/Denmark/Service Accounts</t>
  </si>
  <si>
    <t>zurich.com/EMEA/Finland/Service Accounts</t>
  </si>
  <si>
    <t>zurich.com/EMEA/France/Service Accounts</t>
  </si>
  <si>
    <t>zurich.com/EMEA/Germany/Service Accounts</t>
  </si>
  <si>
    <t>zurich.com/EMEA/Ireland/Service Accounts</t>
  </si>
  <si>
    <t>zurich.com/EMEA/Isle of Man/Service Accounts</t>
  </si>
  <si>
    <t>zurich.com/EMEA/Italy/Service Accounts</t>
  </si>
  <si>
    <t>zurich.com/EMEA/Kuwait/Service Accounts</t>
  </si>
  <si>
    <t>zurich.com/EMEA/Lebanon/Service Accounts</t>
  </si>
  <si>
    <t>zurich.com/EMEA/Luxembourg/Service Accounts</t>
  </si>
  <si>
    <t>zurich.com/EMEA/Morocco/Service Accounts</t>
  </si>
  <si>
    <t>zurich.com/EMEA/Netherlands/Service Accounts</t>
  </si>
  <si>
    <t>zurich.com/EMEA/Norway/Service Accounts</t>
  </si>
  <si>
    <t>zurich.com/EMEA/Oman/Service Accounts</t>
  </si>
  <si>
    <t>zurich.com/EMEA/Poland/Service Accounts</t>
  </si>
  <si>
    <t>zurich.com/EMEA/Portugal/Service Accounts</t>
  </si>
  <si>
    <t>zurich.com/EMEA/Qatar/Service Accounts</t>
  </si>
  <si>
    <t>zurich.com/EMEA/Russia/Service Accounts</t>
  </si>
  <si>
    <t>zurich.com/EMEA/Slovakia/Service Accounts</t>
  </si>
  <si>
    <t>zurich.com/EMEA/South_Africa/Service Accounts</t>
  </si>
  <si>
    <t>zurich.com/EMEA/Spain/Service Accounts</t>
  </si>
  <si>
    <t>zurich.com/EMEA/Sweden/Service Accounts</t>
  </si>
  <si>
    <t>zurich.com/EMEA/Switzerland/Service Accounts</t>
  </si>
  <si>
    <t>zurich.com/EMEA/Turkey/Service Accounts</t>
  </si>
  <si>
    <t>zurich.com/EMEA/UAE/Service Accounts</t>
  </si>
  <si>
    <t>zurich.com/EMEA/UK/Service Accounts</t>
  </si>
  <si>
    <t>zurich.com/EMEA/UK/UK Life/Service Accounts</t>
  </si>
  <si>
    <t>zurich.com/EMEA/ZDC/Service Accounts</t>
  </si>
  <si>
    <t>zurich.com/EMEA/ZTS/Service Accounts</t>
  </si>
  <si>
    <t>zurich.com/Enterprise Services/Commercial/Service Accounts</t>
  </si>
  <si>
    <t>zurich.com/Enterprise Services/Service Accounts</t>
  </si>
  <si>
    <t>zurich.com/GIS/Service Accounts</t>
  </si>
  <si>
    <t>zurich.com/LATAM/Argentina/Service Accounts</t>
  </si>
  <si>
    <t>zurich.com/LATAM/Bolivia/Service Accounts</t>
  </si>
  <si>
    <t>zurich.com/LATAM/Brazil/Service Accounts</t>
  </si>
  <si>
    <t>zurich.com/LATAM/Chile/Service Accounts</t>
  </si>
  <si>
    <t>zurich.com/LATAM/Colombia/Service Accounts</t>
  </si>
  <si>
    <t>zurich.com/LATAM/Ecuador/Service Accounts</t>
  </si>
  <si>
    <t>zurich.com/LATAM/Mexico/Service Accounts</t>
  </si>
  <si>
    <t>zurich.com/LATAM/Uruguay/Service Accounts</t>
  </si>
  <si>
    <t>zurich.com/LATAM/Venezuela/Service Accounts</t>
  </si>
  <si>
    <t>zurich.com/MWS/Zurich/Service Accounts</t>
  </si>
  <si>
    <t>zurich.com/NME/Service Accounts</t>
  </si>
  <si>
    <t>zurich.com/Supplier Services/Supp0001/Service Accounts</t>
  </si>
  <si>
    <t>zurich.com/Supplier Services/Supp0002/Service Accounts</t>
  </si>
  <si>
    <t>zurich.com/Supplier Services/Supp0003/Service Accounts</t>
  </si>
  <si>
    <t>zurich.com/Supplier Services/Supp0004/Service Accounts</t>
  </si>
  <si>
    <t>zurich.com/Supplier Services/Supp0005/Service Accounts</t>
  </si>
  <si>
    <t>zurich.com/Supplier Services/Supp0006/Service Accounts</t>
  </si>
  <si>
    <t>zurich.com/Supplier Services/Supp0007/Service Accounts</t>
  </si>
  <si>
    <t>zurich.com/Supplier Services/Supp0008/Service Accounts</t>
  </si>
  <si>
    <t>zurich.com/Supplier Services/Supp0009/Service Accounts</t>
  </si>
  <si>
    <t>zurich.com/Supplier Services/Supp0010/Service Accounts</t>
  </si>
  <si>
    <t>zurich.com/Supplier Services/Supp0011/Service Accounts</t>
  </si>
  <si>
    <t>zurich.com/Supplier Services/Supp0012/Service Accounts</t>
  </si>
  <si>
    <t>zurich.com/Supplier Services/Supp0013/Service Accounts</t>
  </si>
  <si>
    <t>SVC</t>
  </si>
  <si>
    <t>ServicePrincipleName</t>
  </si>
  <si>
    <t>CheckBox</t>
  </si>
  <si>
    <t>Ous</t>
  </si>
  <si>
    <t>Bulk SVC</t>
  </si>
  <si>
    <t>servicePrincipleName</t>
  </si>
  <si>
    <t>SPN Delegation</t>
  </si>
  <si>
    <t>Enter Trust Option</t>
  </si>
  <si>
    <t>Please select</t>
  </si>
  <si>
    <t xml:space="preserve">Privileged Group will be consumed by PAM indicated by the value"Pgrp" </t>
  </si>
  <si>
    <t>If you would like to set you own password for these accounts then please select "yes" for new password and we will reach out.</t>
  </si>
  <si>
    <t xml:space="preserve">Version </t>
  </si>
  <si>
    <t>Author</t>
  </si>
  <si>
    <t>Approved</t>
  </si>
  <si>
    <t>Hugh Fitzpatrick</t>
  </si>
  <si>
    <t>Ger Crowley</t>
  </si>
  <si>
    <t>Date</t>
  </si>
  <si>
    <t>Changes</t>
  </si>
  <si>
    <t>AD RIP updates</t>
  </si>
  <si>
    <t>Is there any active access dependecies on this group?</t>
  </si>
  <si>
    <t>Migrated groups will be created with the same name as their legacy domain name.
 If a group already exists on Zurich.com with a different name and you wish to link the SID history then please specify this.</t>
  </si>
  <si>
    <t>Source Domain
(NETBIOS Name)</t>
  </si>
  <si>
    <t>GITDIR Service Account Name</t>
  </si>
  <si>
    <t>Source Service Account Name</t>
  </si>
  <si>
    <t>Note: SID History will not be migrated for Service Accounts. 
Access rights will not be carried over from the Source Domain to GITDIR. 
All access on the GITDIR Service Account will need to be requested as normal in PAM.</t>
  </si>
  <si>
    <r>
      <t xml:space="preserve">Does this group contain Service Account </t>
    </r>
    <r>
      <rPr>
        <b/>
        <i/>
        <u/>
        <sz val="10"/>
        <color theme="0"/>
        <rFont val="Arial"/>
        <family val="2"/>
      </rPr>
      <t>only</t>
    </r>
    <r>
      <rPr>
        <sz val="10"/>
        <color theme="0"/>
        <rFont val="Arial"/>
        <family val="2"/>
      </rPr>
      <t xml:space="preserve"> as members?</t>
    </r>
  </si>
  <si>
    <t>ServiceAccount Migrations tab added
GroupMigrations tab modified</t>
  </si>
  <si>
    <t>Legacy Group Name (Group to be migrated)</t>
  </si>
  <si>
    <t>Target Group
(Only required if group already exists on GITDIR)</t>
  </si>
  <si>
    <t>UnixEnabled</t>
  </si>
  <si>
    <t>Unix enabled group?</t>
  </si>
  <si>
    <t>Unix Enabled Group?</t>
  </si>
  <si>
    <t>Unix Enabled User?</t>
  </si>
  <si>
    <t>TargetID 
(Name of Users ID on GITDIR)</t>
  </si>
  <si>
    <t>Source User ID (User to be migrated)</t>
  </si>
  <si>
    <t xml:space="preserve">Added  user migration tab and unix enabled options </t>
  </si>
  <si>
    <t>Organizational unit</t>
  </si>
  <si>
    <t>Unix enabled User?</t>
  </si>
  <si>
    <t>added Azure-enablement</t>
  </si>
  <si>
    <t>Ryan Whitney</t>
  </si>
  <si>
    <t>Azure-enablement</t>
  </si>
  <si>
    <t xml:space="preserve">cscmwsenabled </t>
  </si>
  <si>
    <t>Office 365 E3</t>
  </si>
  <si>
    <t>Enterprise Mobility + Security E3</t>
  </si>
  <si>
    <t>Exchange Online Plan 2</t>
  </si>
  <si>
    <t>Microsoft Teams Room Standard</t>
  </si>
  <si>
    <t>Power BI Pro</t>
  </si>
  <si>
    <t>Microsoft F3</t>
  </si>
  <si>
    <t>From Licence</t>
  </si>
  <si>
    <t>To Licence</t>
  </si>
  <si>
    <t>Is OneDrive Required</t>
  </si>
  <si>
    <t>Remove all licences</t>
  </si>
  <si>
    <r>
      <t>This tab is for requesting amendments to O365 Licences.</t>
    </r>
    <r>
      <rPr>
        <sz val="14"/>
        <color indexed="9"/>
        <rFont val="Arial"/>
        <family val="2"/>
      </rPr>
      <t xml:space="preserve"> Please ensure the information entered is correct.
For more information about the below,  please see the "</t>
    </r>
    <r>
      <rPr>
        <sz val="14"/>
        <color indexed="13"/>
        <rFont val="Arial"/>
        <family val="2"/>
      </rPr>
      <t>Global GAD Form Instructions</t>
    </r>
    <r>
      <rPr>
        <sz val="14"/>
        <color indexed="9"/>
        <rFont val="Arial"/>
        <family val="2"/>
      </rPr>
      <t>" document on the "</t>
    </r>
    <r>
      <rPr>
        <sz val="14"/>
        <color indexed="13"/>
        <rFont val="Arial"/>
        <family val="2"/>
      </rPr>
      <t>IAS-Global GAD</t>
    </r>
    <r>
      <rPr>
        <sz val="14"/>
        <color indexed="9"/>
        <rFont val="Arial"/>
        <family val="2"/>
      </rPr>
      <t>" item within ServiceNow.</t>
    </r>
  </si>
  <si>
    <t>·ENTERPRISEPACK = Office 365 E3
·EMS = Enterprise Mobility + Security E3
·EXCHANGEENTERPRISE = Exchange Online Plan 2
·Meeting_Room = Microsoft Teams Room Standard
·POWER_BI_PRO = Power BI Pro
·SPE_F1 = Microsoft F3</t>
  </si>
  <si>
    <t>Added 0365 tab</t>
  </si>
  <si>
    <t>Keith O Brien</t>
  </si>
  <si>
    <t>O365</t>
  </si>
  <si>
    <t>Group Usage</t>
  </si>
  <si>
    <t>What will the group be used for?</t>
  </si>
  <si>
    <t>ZurSecondaryApprover</t>
  </si>
  <si>
    <t>myAccess SecondaryApprover (if required)</t>
  </si>
  <si>
    <t>Gitdirqmm96</t>
  </si>
  <si>
    <t>Where should the group be available?</t>
  </si>
  <si>
    <t>0 - Group hidden from PAM; Group hidden from MYACCESS </t>
  </si>
  <si>
    <t>1 - Group hidden from PAM; Group available in MYACCESS </t>
  </si>
  <si>
    <t>2 - Group available in PAM; Group hidden from MYACCESS </t>
  </si>
  <si>
    <r>
      <t xml:space="preserve">Please note that in </t>
    </r>
    <r>
      <rPr>
        <b/>
        <sz val="10"/>
        <color rgb="FFFFFF00"/>
        <rFont val="Arial"/>
        <family val="2"/>
      </rPr>
      <t xml:space="preserve">EMEA </t>
    </r>
    <r>
      <rPr>
        <sz val="10"/>
        <color rgb="FFFFFF00"/>
        <rFont val="Arial"/>
        <family val="2"/>
      </rPr>
      <t>all groups requested for deletion will first be emptied of all members and deleted 14 days after. Groups from other regions will be deleted upon an approved request.</t>
    </r>
  </si>
  <si>
    <t>Application/Server/Database etc )</t>
  </si>
  <si>
    <t>BU Drop down</t>
  </si>
  <si>
    <t xml:space="preserve">Enviornment
(this should be a drop down for all group usages ) </t>
  </si>
  <si>
    <t xml:space="preserve">Sandbox </t>
  </si>
  <si>
    <t xml:space="preserve">Development </t>
  </si>
  <si>
    <t xml:space="preserve">Stage </t>
  </si>
  <si>
    <t xml:space="preserve">UAT </t>
  </si>
  <si>
    <t xml:space="preserve">Production </t>
  </si>
  <si>
    <t xml:space="preserve">DR </t>
  </si>
  <si>
    <t xml:space="preserve">Enviornment </t>
  </si>
  <si>
    <t xml:space="preserve">Group Usage </t>
  </si>
  <si>
    <t>Auto Generated Text</t>
  </si>
  <si>
    <t xml:space="preserve">Grants Administrative access to  </t>
  </si>
  <si>
    <t xml:space="preserve">Grants Access to the </t>
  </si>
  <si>
    <t xml:space="preserve">Approver Group for </t>
  </si>
  <si>
    <t xml:space="preserve"> Team, as part of the </t>
  </si>
  <si>
    <t xml:space="preserve">Grants Access to </t>
  </si>
  <si>
    <t xml:space="preserve"> within Azure, as part of </t>
  </si>
  <si>
    <t xml:space="preserve">Used to manage </t>
  </si>
  <si>
    <t xml:space="preserve">Details of Firewall Rules attached to this group are </t>
  </si>
  <si>
    <t xml:space="preserve">Group Policy for </t>
  </si>
  <si>
    <t>NT File System (NTFS) Permissions:</t>
  </si>
  <si>
    <t xml:space="preserve">Grants Accesss to Fileshare/Folder </t>
  </si>
  <si>
    <t xml:space="preserve">Contains users from the </t>
  </si>
  <si>
    <t xml:space="preserve">Grants Access to Printer and Location </t>
  </si>
  <si>
    <t>Provides end users with access to an Azure Virtual Desktop profile grouping of Published Applications.</t>
  </si>
  <si>
    <t xml:space="preserve"> for users in the </t>
  </si>
  <si>
    <t xml:space="preserve">Role based access for the </t>
  </si>
  <si>
    <t xml:space="preserve"> team as part of </t>
  </si>
  <si>
    <t xml:space="preserve"> BU in </t>
  </si>
  <si>
    <t xml:space="preserve">Business Unit
</t>
  </si>
  <si>
    <t xml:space="preserve">BU that owns the group </t>
  </si>
  <si>
    <t>Where the group will be used</t>
  </si>
  <si>
    <t>what will group grant access to</t>
  </si>
  <si>
    <t>Description  (auto populated)</t>
  </si>
  <si>
    <r>
      <rPr>
        <sz val="10"/>
        <color rgb="FFFFFFFF"/>
        <rFont val="Arial"/>
        <family val="2"/>
      </rPr>
      <t>Please review the below statement and ensure the below description describes what this group will be usesd for (This field auto generates based on your selections in columns F - I) .</t>
    </r>
    <r>
      <rPr>
        <b/>
        <sz val="10"/>
        <color rgb="FFFFC000"/>
        <rFont val="Arial"/>
        <family val="2"/>
      </rPr>
      <t xml:space="preserve"> DO NOT EDIT THIS COLUMN MANUALLY AS YOUR REQUEST WONT BE ACCEPTED</t>
    </r>
  </si>
  <si>
    <t xml:space="preserve"> for compliance, as part of </t>
  </si>
  <si>
    <t xml:space="preserve"> Organisation. Group is owned by the </t>
  </si>
  <si>
    <t xml:space="preserve"> SharePoint. Group is owned by the </t>
  </si>
  <si>
    <t xml:space="preserve">Grants Remote Desktop Access to machine: </t>
  </si>
  <si>
    <t xml:space="preserve">Grants Access to server: </t>
  </si>
  <si>
    <t xml:space="preserve">Grants Access to workstation: </t>
  </si>
  <si>
    <t xml:space="preserve"> Architecture and Solution Development</t>
  </si>
  <si>
    <t xml:space="preserve"> Argentina</t>
  </si>
  <si>
    <t xml:space="preserve"> Australia</t>
  </si>
  <si>
    <t xml:space="preserve"> Austria</t>
  </si>
  <si>
    <t xml:space="preserve"> Barcelona Delivery Center CoE</t>
  </si>
  <si>
    <t xml:space="preserve"> Bermuda</t>
  </si>
  <si>
    <t xml:space="preserve"> BTS</t>
  </si>
  <si>
    <t xml:space="preserve"> Canada</t>
  </si>
  <si>
    <t xml:space="preserve"> Central Europe</t>
  </si>
  <si>
    <t xml:space="preserve"> Chile</t>
  </si>
  <si>
    <t xml:space="preserve"> Colombia</t>
  </si>
  <si>
    <t xml:space="preserve"> Commercial Insurance</t>
  </si>
  <si>
    <t xml:space="preserve"> CSC</t>
  </si>
  <si>
    <t xml:space="preserve"> DBI</t>
  </si>
  <si>
    <t xml:space="preserve"> DXC</t>
  </si>
  <si>
    <t xml:space="preserve"> Ecuador</t>
  </si>
  <si>
    <t xml:space="preserve"> Farmers Bristol West</t>
  </si>
  <si>
    <t xml:space="preserve"> Farmers Business Insurance (Projects)</t>
  </si>
  <si>
    <t xml:space="preserve"> Farmers Claims</t>
  </si>
  <si>
    <t xml:space="preserve"> Farmers Cloud Transformation</t>
  </si>
  <si>
    <t xml:space="preserve"> Farmers Corporate Services</t>
  </si>
  <si>
    <t xml:space="preserve"> Farmers Data/Innovation Architecture</t>
  </si>
  <si>
    <t xml:space="preserve"> Farmers Document Services and Logistics</t>
  </si>
  <si>
    <t xml:space="preserve"> Farmers Enterprise Data</t>
  </si>
  <si>
    <t xml:space="preserve"> Farmers Enterprise Platform Systems</t>
  </si>
  <si>
    <t xml:space="preserve"> Farmers Exchange</t>
  </si>
  <si>
    <t xml:space="preserve"> Farmers FNWL</t>
  </si>
  <si>
    <t xml:space="preserve"> Farmers Independent Agent (Projects)</t>
  </si>
  <si>
    <t xml:space="preserve"> Farmers Information Security</t>
  </si>
  <si>
    <t xml:space="preserve"> Farmers Infrastructure Operations</t>
  </si>
  <si>
    <t xml:space="preserve"> Farmers Network/Telecom</t>
  </si>
  <si>
    <t xml:space="preserve"> Farmers Non-Insurance Business</t>
  </si>
  <si>
    <t xml:space="preserve"> Farmers Personal Lines IT</t>
  </si>
  <si>
    <t xml:space="preserve"> Farmers Unidentified</t>
  </si>
  <si>
    <t xml:space="preserve"> Farmers Workplace Solutions</t>
  </si>
  <si>
    <t xml:space="preserve"> German Independent Agents</t>
  </si>
  <si>
    <t xml:space="preserve"> Germany</t>
  </si>
  <si>
    <t xml:space="preserve"> GRM</t>
  </si>
  <si>
    <t xml:space="preserve"> Hong Kong</t>
  </si>
  <si>
    <t xml:space="preserve"> Indonesia</t>
  </si>
  <si>
    <t xml:space="preserve"> Ireland</t>
  </si>
  <si>
    <t xml:space="preserve"> Ireland GI</t>
  </si>
  <si>
    <t xml:space="preserve"> Ireland ITS Hub</t>
  </si>
  <si>
    <t xml:space="preserve"> Ireland Wrightway</t>
  </si>
  <si>
    <t xml:space="preserve"> Ireland ZIP HO</t>
  </si>
  <si>
    <t xml:space="preserve"> Ireland ZLAp</t>
  </si>
  <si>
    <t xml:space="preserve"> Ireland ZTS</t>
  </si>
  <si>
    <t xml:space="preserve"> Isle of Man</t>
  </si>
  <si>
    <t xml:space="preserve"> IT Security</t>
  </si>
  <si>
    <t xml:space="preserve"> IT Services</t>
  </si>
  <si>
    <t xml:space="preserve"> IT Shared Platforms</t>
  </si>
  <si>
    <t xml:space="preserve"> Italy</t>
  </si>
  <si>
    <t xml:space="preserve"> Japan</t>
  </si>
  <si>
    <t xml:space="preserve"> Luxembourg</t>
  </si>
  <si>
    <t xml:space="preserve"> Malaysia</t>
  </si>
  <si>
    <t xml:space="preserve"> Mexico</t>
  </si>
  <si>
    <t xml:space="preserve"> Middle East</t>
  </si>
  <si>
    <t xml:space="preserve"> Operations &amp; Governance: ZCC Management</t>
  </si>
  <si>
    <t xml:space="preserve"> Portugal</t>
  </si>
  <si>
    <t xml:space="preserve"> Singapore</t>
  </si>
  <si>
    <t xml:space="preserve"> Spain</t>
  </si>
  <si>
    <t xml:space="preserve"> Switzerland</t>
  </si>
  <si>
    <t xml:space="preserve"> Turkey</t>
  </si>
  <si>
    <t xml:space="preserve"> UK</t>
  </si>
  <si>
    <t xml:space="preserve"> ZNA</t>
  </si>
  <si>
    <t xml:space="preserve"> database. Group is owned by the </t>
  </si>
  <si>
    <r>
      <t>COLUMNS P-S are required to update the</t>
    </r>
    <r>
      <rPr>
        <b/>
        <u/>
        <sz val="10"/>
        <color theme="9"/>
        <rFont val="Arial"/>
        <family val="2"/>
      </rPr>
      <t xml:space="preserve"> description</t>
    </r>
    <r>
      <rPr>
        <sz val="10"/>
        <color rgb="FFFF0000"/>
        <rFont val="Arial"/>
        <family val="2"/>
      </rPr>
      <t xml:space="preserve"> attribute </t>
    </r>
  </si>
  <si>
    <t>APP ID (from CMDB)</t>
  </si>
  <si>
    <t>Where applicable</t>
  </si>
  <si>
    <t>Environment.AppID:</t>
  </si>
  <si>
    <t>Group containing:</t>
  </si>
  <si>
    <t xml:space="preserve"> .Group is owned by the </t>
  </si>
  <si>
    <t xml:space="preserve"> application. Group is owned by the</t>
  </si>
  <si>
    <t xml:space="preserve"> Brazil </t>
  </si>
  <si>
    <t xml:space="preserve"> Corporate Center</t>
  </si>
  <si>
    <t xml:space="preserve"> Farmers </t>
  </si>
  <si>
    <t>Role Based Access:</t>
  </si>
  <si>
    <t>Published Application:</t>
  </si>
  <si>
    <t>Administrator:</t>
  </si>
  <si>
    <t>Approver:</t>
  </si>
  <si>
    <t>Application:</t>
  </si>
  <si>
    <t>Azure:</t>
  </si>
  <si>
    <t>Compliance:</t>
  </si>
  <si>
    <t>Database:</t>
  </si>
  <si>
    <t>Dynamic Group:</t>
  </si>
  <si>
    <t>Firewall:</t>
  </si>
  <si>
    <t>Group Policy:</t>
  </si>
  <si>
    <t>Organization:</t>
  </si>
  <si>
    <t>Printer:</t>
  </si>
  <si>
    <t>Remote Desktop Access:</t>
  </si>
  <si>
    <t>SharePoint:</t>
  </si>
  <si>
    <t>Server:</t>
  </si>
  <si>
    <t>WorkStation:</t>
  </si>
  <si>
    <t>(use N/A if not applicable)</t>
  </si>
  <si>
    <t>Please note: Creation of Groups in Zurich.com (GITDIR) and Zurich.UAT will no longer be accepted via this form and should be processed via https://resourceowner.zurich.com &lt;- Click Link</t>
  </si>
  <si>
    <t>Please note: Modification of Group description in Zurich.com (GITDIR) and Zurich.UAT will no longer be accepted via this form and should be processed via https://resourceowner.zurich.com &lt;- Click Link</t>
  </si>
  <si>
    <t>GITDIR</t>
  </si>
  <si>
    <t>storacct01workbenchp01-fileshare-workbench-p01-read</t>
  </si>
  <si>
    <t>storacct01workbenchp01-fileshare-workbench-p01-modify</t>
  </si>
  <si>
    <t>adm-uszswn3</t>
  </si>
  <si>
    <t>APPID-6174</t>
  </si>
  <si>
    <t>APPID-6175</t>
  </si>
  <si>
    <t>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</si>
</sst>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name val="Arial"/>
    </font>
    <font>
      <sz val="11"/>
      <color theme="1"/>
      <name val="Calibri"/>
      <family val="2"/>
      <scheme val="minor"/>
    </font>
    <font>
      <sz val="10"/>
      <color indexed="9"/>
      <name val="Arial"/>
      <family val="2"/>
    </font>
    <font>
      <sz val="8"/>
      <name val="Arial"/>
      <family val="2"/>
    </font>
    <font>
      <sz val="10"/>
      <color indexed="10"/>
      <name val="Arial"/>
      <family val="2"/>
    </font>
    <font>
      <sz val="10"/>
      <color indexed="10"/>
      <name val="Arial"/>
      <family val="2"/>
    </font>
    <font>
      <sz val="10"/>
      <color indexed="19"/>
      <name val="Arial"/>
      <family val="2"/>
    </font>
    <font>
      <sz val="10"/>
      <name val="Arial"/>
      <family val="2"/>
    </font>
    <font>
      <b/>
      <sz val="14"/>
      <color indexed="8"/>
      <name val="Verdana"/>
      <family val="2"/>
    </font>
    <font>
      <b/>
      <sz val="10"/>
      <name val="Verdana"/>
      <family val="2"/>
    </font>
    <font>
      <sz val="10"/>
      <name val="Verdana"/>
      <family val="2"/>
    </font>
    <font>
      <b/>
      <sz val="10"/>
      <color indexed="9"/>
      <name val="Verdana"/>
      <family val="2"/>
    </font>
    <font>
      <sz val="14"/>
      <color indexed="9"/>
      <name val="Arial"/>
      <family val="2"/>
    </font>
    <font>
      <sz val="14"/>
      <name val="Arial"/>
      <family val="2"/>
    </font>
    <font>
      <b/>
      <sz val="14"/>
      <color indexed="13"/>
      <name val="Arial"/>
      <family val="2"/>
    </font>
    <font>
      <sz val="14"/>
      <color indexed="13"/>
      <name val="Arial"/>
      <family val="2"/>
    </font>
    <font>
      <sz val="9"/>
      <color indexed="81"/>
      <name val="Tahoma"/>
      <family val="2"/>
    </font>
    <font>
      <b/>
      <sz val="9"/>
      <color indexed="81"/>
      <name val="Tahoma"/>
      <family val="2"/>
    </font>
    <font>
      <sz val="10"/>
      <color rgb="FFFF0000"/>
      <name val="Arial"/>
      <family val="2"/>
    </font>
    <font>
      <sz val="8"/>
      <color rgb="FF003399"/>
      <name val="Verdana"/>
      <family val="2"/>
    </font>
    <font>
      <sz val="10"/>
      <color theme="0"/>
      <name val="Arial"/>
      <family val="2"/>
    </font>
    <font>
      <sz val="18"/>
      <color theme="0"/>
      <name val="Arial"/>
      <family val="2"/>
    </font>
    <font>
      <sz val="10"/>
      <color rgb="FF00B050"/>
      <name val="Arial"/>
      <family val="2"/>
    </font>
    <font>
      <sz val="14"/>
      <color theme="0"/>
      <name val="Arial"/>
      <family val="2"/>
    </font>
    <font>
      <b/>
      <sz val="11"/>
      <color theme="0"/>
      <name val="Calibri"/>
      <family val="2"/>
      <scheme val="minor"/>
    </font>
    <font>
      <u/>
      <sz val="10"/>
      <color theme="10"/>
      <name val="Arial"/>
      <family val="2"/>
    </font>
    <font>
      <sz val="10"/>
      <color rgb="FFFFFF00"/>
      <name val="Arial"/>
      <family val="2"/>
    </font>
    <font>
      <sz val="11"/>
      <name val="Segoe UI"/>
      <family val="2"/>
    </font>
    <font>
      <b/>
      <i/>
      <u/>
      <sz val="10"/>
      <color theme="0"/>
      <name val="Arial"/>
      <family val="2"/>
    </font>
    <font>
      <sz val="11"/>
      <color rgb="FF1F497D"/>
      <name val="Calibri"/>
      <family val="2"/>
    </font>
    <font>
      <sz val="10"/>
      <name val="Arial"/>
      <family val="2"/>
    </font>
    <font>
      <b/>
      <sz val="10"/>
      <name val="Arial"/>
      <family val="2"/>
    </font>
    <font>
      <sz val="11"/>
      <color rgb="FF000000"/>
      <name val="Calibri"/>
      <family val="2"/>
    </font>
    <font>
      <b/>
      <sz val="10"/>
      <color indexed="9"/>
      <name val="Arial"/>
      <family val="2"/>
    </font>
    <font>
      <sz val="11"/>
      <color rgb="FF242424"/>
      <name val="Segoe UI"/>
      <family val="2"/>
    </font>
    <font>
      <b/>
      <sz val="10"/>
      <color rgb="FFFFFF00"/>
      <name val="Arial"/>
      <family val="2"/>
    </font>
    <font>
      <sz val="12"/>
      <color rgb="FF212529"/>
      <name val="Segoe UI"/>
      <family val="2"/>
    </font>
    <font>
      <sz val="10"/>
      <color rgb="FFFFFFFF"/>
      <name val="Arial"/>
      <family val="2"/>
    </font>
    <font>
      <b/>
      <sz val="10"/>
      <color rgb="FFFFC000"/>
      <name val="Arial"/>
      <family val="2"/>
    </font>
    <font>
      <sz val="11"/>
      <name val="Calibri"/>
      <family val="2"/>
    </font>
    <font>
      <b/>
      <u/>
      <sz val="10"/>
      <color theme="9"/>
      <name val="Arial"/>
      <family val="2"/>
    </font>
    <font>
      <b/>
      <u/>
      <sz val="28"/>
      <color rgb="FFFF0000"/>
      <name val="Arial"/>
      <family val="2"/>
    </font>
  </fonts>
  <fills count="10">
    <fill>
      <patternFill patternType="none"/>
    </fill>
    <fill>
      <patternFill patternType="gray125"/>
    </fill>
    <fill>
      <patternFill patternType="solid">
        <fgColor indexed="29"/>
        <bgColor indexed="64"/>
      </patternFill>
    </fill>
    <fill>
      <patternFill patternType="solid">
        <fgColor indexed="18"/>
        <bgColor indexed="64"/>
      </patternFill>
    </fill>
    <fill>
      <patternFill patternType="solid">
        <fgColor rgb="FFFFFFFF"/>
        <bgColor indexed="64"/>
      </patternFill>
    </fill>
    <fill>
      <patternFill patternType="solid">
        <fgColor rgb="FFA5A5A5"/>
      </patternFill>
    </fill>
    <fill>
      <patternFill patternType="solid">
        <fgColor rgb="FF002060"/>
        <bgColor indexed="64"/>
      </patternFill>
    </fill>
    <fill>
      <patternFill patternType="solid">
        <fgColor theme="4" tint="0.59999389629810485"/>
        <bgColor theme="4" tint="0.59999389629810485"/>
      </patternFill>
    </fill>
    <fill>
      <patternFill patternType="solid">
        <fgColor rgb="FF00B050"/>
        <bgColor indexed="64"/>
      </patternFill>
    </fill>
    <fill>
      <patternFill patternType="solid">
        <fgColor theme="3" tint="0.79998168889431442"/>
        <bgColor indexed="64"/>
      </patternFill>
    </fill>
  </fills>
  <borders count="22">
    <border>
      <left/>
      <right/>
      <top/>
      <bottom/>
      <diagonal/>
    </border>
    <border>
      <left style="thin">
        <color indexed="58"/>
      </left>
      <right style="thin">
        <color indexed="58"/>
      </right>
      <top style="thin">
        <color indexed="58"/>
      </top>
      <bottom style="thin">
        <color indexed="58"/>
      </bottom>
      <diagonal/>
    </border>
    <border>
      <left style="thin">
        <color indexed="58"/>
      </left>
      <right style="thin">
        <color indexed="58"/>
      </right>
      <top style="thin">
        <color indexed="58"/>
      </top>
      <bottom/>
      <diagonal/>
    </border>
    <border>
      <left style="thin">
        <color indexed="58"/>
      </left>
      <right style="thin">
        <color indexed="58"/>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rgb="FFEFEFEF"/>
      </bottom>
      <diagonal/>
    </border>
    <border>
      <left/>
      <right/>
      <top/>
      <bottom style="thin">
        <color theme="0"/>
      </bottom>
      <diagonal/>
    </border>
    <border>
      <left style="double">
        <color rgb="FF3F3F3F"/>
      </left>
      <right style="double">
        <color rgb="FF3F3F3F"/>
      </right>
      <top style="double">
        <color rgb="FF3F3F3F"/>
      </top>
      <bottom style="double">
        <color rgb="FF3F3F3F"/>
      </bottom>
      <diagonal/>
    </border>
    <border>
      <left style="thin">
        <color indexed="58"/>
      </left>
      <right/>
      <top/>
      <bottom style="thin">
        <color indexed="58"/>
      </bottom>
      <diagonal/>
    </border>
    <border>
      <left/>
      <right/>
      <top/>
      <bottom style="thin">
        <color indexed="58"/>
      </bottom>
      <diagonal/>
    </border>
    <border>
      <left style="thin">
        <color indexed="58"/>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style="thick">
        <color rgb="FFD1D1D1"/>
      </right>
      <top style="thin">
        <color rgb="FF000000"/>
      </top>
      <bottom style="thick">
        <color rgb="FFD1D1D1"/>
      </bottom>
      <diagonal/>
    </border>
    <border>
      <left style="thin">
        <color rgb="FF000000"/>
      </left>
      <right style="thick">
        <color rgb="FFD1D1D1"/>
      </right>
      <top style="thick">
        <color rgb="FFD1D1D1"/>
      </top>
      <bottom style="thick">
        <color rgb="FFD1D1D1"/>
      </bottom>
      <diagonal/>
    </border>
    <border>
      <left style="thin">
        <color rgb="FF000000"/>
      </left>
      <right style="thick">
        <color rgb="FFD1D1D1"/>
      </right>
      <top style="thick">
        <color rgb="FFD1D1D1"/>
      </top>
      <bottom style="thin">
        <color rgb="FF000000"/>
      </bottom>
      <diagonal/>
    </border>
    <border>
      <left style="thin">
        <color indexed="64"/>
      </left>
      <right style="thin">
        <color indexed="64"/>
      </right>
      <top style="thin">
        <color theme="0"/>
      </top>
      <bottom style="thin">
        <color indexed="64"/>
      </bottom>
      <diagonal/>
    </border>
    <border>
      <left style="thin">
        <color indexed="58"/>
      </left>
      <right style="thin">
        <color indexed="58"/>
      </right>
      <top/>
      <bottom style="thin">
        <color indexed="58"/>
      </bottom>
      <diagonal/>
    </border>
  </borders>
  <cellStyleXfs count="5">
    <xf numFmtId="0" fontId="0" fillId="0" borderId="0"/>
    <xf numFmtId="0" fontId="24" fillId="5" borderId="11" applyNumberFormat="0" applyAlignment="0" applyProtection="0"/>
    <xf numFmtId="0" fontId="25" fillId="0" borderId="0" applyNumberFormat="0" applyFill="0" applyBorder="0" applyAlignment="0" applyProtection="0"/>
    <xf numFmtId="0" fontId="30" fillId="0" borderId="0"/>
    <xf numFmtId="0" fontId="1" fillId="0" borderId="0"/>
  </cellStyleXfs>
  <cellXfs count="104">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wrapText="1"/>
    </xf>
    <xf numFmtId="0" fontId="0" fillId="0" borderId="0" xfId="0" applyAlignment="1">
      <alignment wrapText="1"/>
    </xf>
    <xf numFmtId="0" fontId="8"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9" fillId="0" borderId="4" xfId="0" applyFont="1" applyBorder="1" applyAlignment="1">
      <alignment horizontal="center" vertical="center"/>
    </xf>
    <xf numFmtId="0" fontId="11" fillId="3" borderId="5" xfId="0" applyFont="1" applyFill="1" applyBorder="1" applyAlignment="1">
      <alignment vertical="center"/>
    </xf>
    <xf numFmtId="0" fontId="11" fillId="3" borderId="4" xfId="0" applyFont="1" applyFill="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10" fillId="0" borderId="7" xfId="0" applyFont="1" applyBorder="1" applyAlignment="1">
      <alignment horizontal="left" vertical="center"/>
    </xf>
    <xf numFmtId="0" fontId="9" fillId="0" borderId="6" xfId="0" applyFont="1" applyBorder="1" applyAlignment="1">
      <alignment vertical="center"/>
    </xf>
    <xf numFmtId="15" fontId="10" fillId="0" borderId="7" xfId="0" applyNumberFormat="1" applyFont="1" applyBorder="1" applyAlignment="1">
      <alignment horizontal="left" vertical="center"/>
    </xf>
    <xf numFmtId="0" fontId="9" fillId="0" borderId="0" xfId="0" applyFont="1" applyAlignment="1">
      <alignment horizontal="center" vertical="center"/>
    </xf>
    <xf numFmtId="0" fontId="11" fillId="3" borderId="5" xfId="0" applyFont="1" applyFill="1" applyBorder="1" applyAlignment="1">
      <alignment horizontal="left" vertical="center"/>
    </xf>
    <xf numFmtId="0" fontId="18" fillId="2" borderId="2" xfId="0" applyFont="1" applyFill="1" applyBorder="1" applyAlignment="1">
      <alignment horizontal="center" vertical="center"/>
    </xf>
    <xf numFmtId="0" fontId="7" fillId="0" borderId="0" xfId="0" applyFont="1" applyAlignment="1">
      <alignment wrapText="1"/>
    </xf>
    <xf numFmtId="0" fontId="19" fillId="4" borderId="9" xfId="0" applyFont="1" applyFill="1" applyBorder="1" applyAlignment="1">
      <alignment vertical="top" wrapText="1"/>
    </xf>
    <xf numFmtId="0" fontId="20" fillId="2" borderId="1" xfId="0" applyFont="1" applyFill="1" applyBorder="1" applyAlignment="1">
      <alignment horizontal="center"/>
    </xf>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20" fillId="2" borderId="3" xfId="0" applyFont="1" applyFill="1" applyBorder="1" applyAlignment="1">
      <alignment horizontal="center" vertical="center"/>
    </xf>
    <xf numFmtId="0" fontId="0" fillId="0" borderId="10" xfId="0" applyBorder="1"/>
    <xf numFmtId="0" fontId="21" fillId="2" borderId="10" xfId="0" applyFont="1" applyFill="1" applyBorder="1" applyAlignment="1">
      <alignment horizontal="center" vertical="center"/>
    </xf>
    <xf numFmtId="0" fontId="22" fillId="0" borderId="0" xfId="0" applyFont="1"/>
    <xf numFmtId="0" fontId="18"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7" fillId="0" borderId="0" xfId="0" applyFont="1"/>
    <xf numFmtId="0" fontId="25" fillId="0" borderId="0" xfId="2"/>
    <xf numFmtId="0" fontId="27" fillId="0" borderId="0" xfId="0" applyFont="1" applyAlignment="1">
      <alignment horizontal="left" vertical="center" wrapText="1"/>
    </xf>
    <xf numFmtId="0" fontId="24" fillId="5" borderId="11" xfId="1"/>
    <xf numFmtId="0" fontId="20" fillId="2" borderId="2" xfId="0" applyFont="1" applyFill="1" applyBorder="1" applyAlignment="1">
      <alignment horizontal="center" vertical="center" wrapText="1"/>
    </xf>
    <xf numFmtId="14" fontId="0" fillId="0" borderId="0" xfId="0" applyNumberFormat="1" applyAlignment="1">
      <alignment vertical="top"/>
    </xf>
    <xf numFmtId="0" fontId="7" fillId="0" borderId="0" xfId="0" applyFont="1" applyAlignment="1">
      <alignment vertical="top"/>
    </xf>
    <xf numFmtId="0" fontId="0" fillId="0" borderId="0" xfId="0" applyAlignment="1">
      <alignment vertical="top"/>
    </xf>
    <xf numFmtId="0" fontId="7" fillId="0" borderId="0" xfId="0" applyFont="1" applyAlignment="1">
      <alignment vertical="top" wrapText="1"/>
    </xf>
    <xf numFmtId="0" fontId="6" fillId="2" borderId="2" xfId="0" applyFont="1" applyFill="1" applyBorder="1" applyAlignment="1">
      <alignment horizontal="center" vertical="center"/>
    </xf>
    <xf numFmtId="14" fontId="0" fillId="0" borderId="0" xfId="0" applyNumberFormat="1"/>
    <xf numFmtId="0" fontId="25" fillId="0" borderId="0" xfId="2" applyAlignment="1">
      <alignment wrapText="1"/>
    </xf>
    <xf numFmtId="0" fontId="30" fillId="0" borderId="0" xfId="3"/>
    <xf numFmtId="0" fontId="30" fillId="0" borderId="0" xfId="3" applyAlignment="1">
      <alignment wrapText="1"/>
    </xf>
    <xf numFmtId="0" fontId="29" fillId="0" borderId="0" xfId="3" applyFont="1" applyAlignment="1">
      <alignment vertical="center"/>
    </xf>
    <xf numFmtId="0" fontId="30" fillId="0" borderId="1" xfId="3" applyBorder="1" applyAlignment="1">
      <alignment horizontal="center"/>
    </xf>
    <xf numFmtId="0" fontId="2" fillId="2" borderId="1" xfId="3" applyFont="1" applyFill="1" applyBorder="1" applyAlignment="1">
      <alignment horizontal="center"/>
    </xf>
    <xf numFmtId="0" fontId="2" fillId="2" borderId="2" xfId="3" applyFont="1" applyFill="1" applyBorder="1" applyAlignment="1">
      <alignment horizontal="center" vertical="center"/>
    </xf>
    <xf numFmtId="0" fontId="2" fillId="2" borderId="2" xfId="3" applyFont="1" applyFill="1" applyBorder="1" applyAlignment="1">
      <alignment horizontal="center" wrapText="1"/>
    </xf>
    <xf numFmtId="0" fontId="2" fillId="2" borderId="1" xfId="3" applyFont="1" applyFill="1" applyBorder="1" applyAlignment="1">
      <alignment horizontal="center" wrapText="1"/>
    </xf>
    <xf numFmtId="0" fontId="2" fillId="2" borderId="2" xfId="3" applyFont="1" applyFill="1" applyBorder="1" applyAlignment="1">
      <alignment horizontal="center"/>
    </xf>
    <xf numFmtId="0" fontId="30" fillId="0" borderId="2" xfId="3" applyBorder="1" applyAlignment="1">
      <alignment horizontal="center" vertical="center"/>
    </xf>
    <xf numFmtId="0" fontId="2" fillId="2" borderId="2" xfId="3" applyFont="1" applyFill="1" applyBorder="1" applyAlignment="1">
      <alignment horizontal="center" vertical="center" wrapText="1"/>
    </xf>
    <xf numFmtId="0" fontId="18" fillId="2" borderId="2" xfId="3" applyFont="1" applyFill="1" applyBorder="1" applyAlignment="1">
      <alignment horizontal="center" vertical="center"/>
    </xf>
    <xf numFmtId="0" fontId="4" fillId="2" borderId="2" xfId="3" applyFont="1" applyFill="1" applyBorder="1" applyAlignment="1">
      <alignment horizontal="center" vertical="center"/>
    </xf>
    <xf numFmtId="0" fontId="4" fillId="2" borderId="2" xfId="3" applyFont="1" applyFill="1" applyBorder="1" applyAlignment="1">
      <alignment horizontal="center" vertical="center" wrapText="1"/>
    </xf>
    <xf numFmtId="0" fontId="4" fillId="6" borderId="2" xfId="3" applyFont="1" applyFill="1" applyBorder="1" applyAlignment="1">
      <alignment horizontal="center" vertical="center" wrapText="1"/>
    </xf>
    <xf numFmtId="0" fontId="2" fillId="6" borderId="2" xfId="3" applyFont="1" applyFill="1" applyBorder="1" applyAlignment="1">
      <alignment horizontal="center" vertical="center" wrapText="1"/>
    </xf>
    <xf numFmtId="0" fontId="2" fillId="6" borderId="2" xfId="3" applyFont="1" applyFill="1" applyBorder="1" applyAlignment="1">
      <alignment horizontal="center" vertical="center"/>
    </xf>
    <xf numFmtId="0" fontId="30" fillId="6" borderId="0" xfId="3" applyFill="1" applyAlignment="1">
      <alignment horizontal="center" vertical="center"/>
    </xf>
    <xf numFmtId="0" fontId="2" fillId="6" borderId="1" xfId="3" applyFont="1" applyFill="1" applyBorder="1" applyAlignment="1">
      <alignment horizontal="center" vertical="center"/>
    </xf>
    <xf numFmtId="0" fontId="2" fillId="6" borderId="1" xfId="3" applyFont="1" applyFill="1" applyBorder="1" applyAlignment="1">
      <alignment horizontal="center" vertical="center" wrapText="1"/>
    </xf>
    <xf numFmtId="0" fontId="2" fillId="6" borderId="2" xfId="3" applyFont="1" applyFill="1" applyBorder="1" applyAlignment="1">
      <alignment horizontal="center" wrapText="1"/>
    </xf>
    <xf numFmtId="0" fontId="31" fillId="0" borderId="0" xfId="0" applyFont="1" applyAlignment="1">
      <alignment wrapText="1"/>
    </xf>
    <xf numFmtId="0" fontId="2" fillId="2" borderId="14" xfId="0" applyFont="1" applyFill="1" applyBorder="1" applyAlignment="1">
      <alignment horizontal="center" vertical="center"/>
    </xf>
    <xf numFmtId="0" fontId="4" fillId="2" borderId="3" xfId="0" applyFont="1" applyFill="1" applyBorder="1" applyAlignment="1">
      <alignment horizontal="center" vertical="center" wrapText="1"/>
    </xf>
    <xf numFmtId="0" fontId="7" fillId="0" borderId="15" xfId="0" applyFont="1" applyBorder="1"/>
    <xf numFmtId="0" fontId="32" fillId="0" borderId="15" xfId="0" applyFont="1" applyBorder="1" applyAlignment="1">
      <alignment vertical="center"/>
    </xf>
    <xf numFmtId="0" fontId="0" fillId="0" borderId="15" xfId="0" applyBorder="1"/>
    <xf numFmtId="0" fontId="31" fillId="0" borderId="15" xfId="0" applyFont="1" applyBorder="1"/>
    <xf numFmtId="0" fontId="18" fillId="2" borderId="3" xfId="0" applyFont="1" applyFill="1" applyBorder="1" applyAlignment="1">
      <alignment horizontal="center" vertical="center"/>
    </xf>
    <xf numFmtId="0" fontId="33" fillId="2" borderId="1" xfId="0" applyFont="1" applyFill="1" applyBorder="1" applyAlignment="1">
      <alignment horizontal="center" wrapText="1"/>
    </xf>
    <xf numFmtId="0" fontId="34" fillId="4" borderId="17" xfId="0" applyFont="1" applyFill="1" applyBorder="1" applyAlignment="1">
      <alignment horizontal="left" vertical="center" wrapText="1"/>
    </xf>
    <xf numFmtId="0" fontId="34" fillId="4" borderId="18" xfId="0" applyFont="1" applyFill="1" applyBorder="1" applyAlignment="1">
      <alignment horizontal="right" vertical="center" wrapText="1"/>
    </xf>
    <xf numFmtId="0" fontId="34" fillId="4" borderId="19" xfId="0" applyFont="1" applyFill="1" applyBorder="1" applyAlignment="1">
      <alignment horizontal="right" vertical="center" wrapText="1"/>
    </xf>
    <xf numFmtId="0" fontId="18" fillId="2" borderId="14" xfId="0" applyFont="1" applyFill="1" applyBorder="1" applyAlignment="1">
      <alignment horizontal="center" vertical="center" wrapText="1"/>
    </xf>
    <xf numFmtId="0" fontId="0" fillId="8" borderId="0" xfId="0" applyFill="1"/>
    <xf numFmtId="0" fontId="32" fillId="8" borderId="16" xfId="0" applyFont="1" applyFill="1" applyBorder="1" applyAlignment="1">
      <alignment vertical="center" wrapText="1"/>
    </xf>
    <xf numFmtId="0" fontId="32" fillId="7" borderId="20" xfId="0" applyFont="1" applyFill="1" applyBorder="1" applyAlignment="1">
      <alignment vertical="center"/>
    </xf>
    <xf numFmtId="0" fontId="32" fillId="8" borderId="16" xfId="0" applyFont="1" applyFill="1" applyBorder="1" applyAlignment="1">
      <alignment vertical="center"/>
    </xf>
    <xf numFmtId="0" fontId="36" fillId="0" borderId="15" xfId="0" applyFont="1" applyBorder="1"/>
    <xf numFmtId="0" fontId="36" fillId="0" borderId="15" xfId="0" applyFont="1" applyBorder="1" applyAlignment="1">
      <alignment wrapText="1"/>
    </xf>
    <xf numFmtId="0" fontId="39" fillId="0" borderId="0" xfId="0" applyFont="1"/>
    <xf numFmtId="0" fontId="20" fillId="2" borderId="14" xfId="0" applyFont="1" applyFill="1" applyBorder="1" applyAlignment="1">
      <alignment horizontal="center" vertical="center" wrapText="1"/>
    </xf>
    <xf numFmtId="0" fontId="32" fillId="0" borderId="15" xfId="4" applyFont="1" applyBorder="1" applyAlignment="1">
      <alignment vertical="center"/>
    </xf>
    <xf numFmtId="0" fontId="18" fillId="2" borderId="3" xfId="0" applyFont="1" applyFill="1" applyBorder="1" applyAlignment="1">
      <alignment horizontal="center" vertical="center" wrapText="1"/>
    </xf>
    <xf numFmtId="0" fontId="23" fillId="2" borderId="10" xfId="0" applyFont="1" applyFill="1" applyBorder="1" applyAlignment="1">
      <alignment horizontal="left" vertical="center" wrapText="1"/>
    </xf>
    <xf numFmtId="0" fontId="13" fillId="0" borderId="10" xfId="0" applyFont="1" applyBorder="1" applyAlignment="1">
      <alignment vertical="center" wrapText="1"/>
    </xf>
    <xf numFmtId="0" fontId="41" fillId="9" borderId="0" xfId="2" applyFont="1" applyFill="1" applyAlignment="1">
      <alignment horizontal="left" wrapText="1"/>
    </xf>
    <xf numFmtId="0" fontId="18" fillId="2" borderId="2"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26" fillId="2" borderId="12" xfId="0" applyFont="1" applyFill="1" applyBorder="1" applyAlignment="1">
      <alignment horizontal="center" vertical="center" wrapText="1"/>
    </xf>
    <xf numFmtId="0" fontId="26" fillId="2" borderId="13" xfId="0" applyFont="1" applyFill="1" applyBorder="1" applyAlignment="1">
      <alignment horizontal="center" vertical="center" wrapText="1"/>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10" fillId="0" borderId="8" xfId="0" applyFont="1" applyBorder="1" applyAlignment="1">
      <alignment horizontal="left" vertical="center"/>
    </xf>
    <xf numFmtId="0" fontId="10" fillId="0" borderId="4" xfId="0" applyFont="1" applyBorder="1" applyAlignment="1">
      <alignment horizontal="left" vertical="center"/>
    </xf>
  </cellXfs>
  <cellStyles count="5">
    <cellStyle name="Check Cell" xfId="1" builtinId="23"/>
    <cellStyle name="Hyperlink" xfId="2" builtinId="8"/>
    <cellStyle name="Normal" xfId="0" builtinId="0"/>
    <cellStyle name="Normal 2" xfId="3" xr:uid="{58F1F58A-8243-4835-86C2-D9C3B73A6EA4}"/>
    <cellStyle name="Normal 3" xfId="4" xr:uid="{AFCFF4BE-0FAB-4E65-B1E6-11A599B8252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BCC800"/>
      <rgbColor rgb="00FFFF00"/>
      <rgbColor rgb="00FF00FF"/>
      <rgbColor rgb="0000FFFF"/>
      <rgbColor rgb="00CCCCCC"/>
      <rgbColor rgb="00666666"/>
      <rgbColor rgb="00003399"/>
      <rgbColor rgb="00E80024"/>
      <rgbColor rgb="00800080"/>
      <rgbColor rgb="0090DFAB"/>
      <rgbColor rgb="00C0C0C0"/>
      <rgbColor rgb="00808080"/>
      <rgbColor rgb="00AAA999"/>
      <rgbColor rgb="008899BB"/>
      <rgbColor rgb="00C3CCDD"/>
      <rgbColor rgb="00CCDDEE"/>
      <rgbColor rgb="00EEEEDD"/>
      <rgbColor rgb="00000066"/>
      <rgbColor rgb="00003399"/>
      <rgbColor rgb="00666666"/>
      <rgbColor rgb="00CCCCCC"/>
      <rgbColor rgb="00FBBF00"/>
      <rgbColor rgb="00E80024"/>
      <rgbColor rgb="0090DFAB"/>
      <rgbColor rgb="00BCC800"/>
      <rgbColor rgb="00C793BE"/>
      <rgbColor rgb="00000000"/>
      <rgbColor rgb="00FFFF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BBF00"/>
      <rgbColor rgb="00C793BE"/>
      <rgbColor rgb="00969696"/>
      <rgbColor rgb="00000066"/>
      <rgbColor rgb="00339966"/>
      <rgbColor rgb="00EEEEDD"/>
      <rgbColor rgb="00AAA999"/>
      <rgbColor rgb="008899BB"/>
      <rgbColor rgb="00993366"/>
      <rgbColor rgb="00C3CCDD"/>
      <rgbColor rgb="00CCDDEE"/>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Keith O'Brien" id="{361E36BF-838C-4946-9BFA-54582E0280D1}" userId="S::keith.obrien@zurich.com::82d80607-250b-4c1e-bf7e-79cbc01d89a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7" dT="2021-06-11T11:23:04.23" personId="{361E36BF-838C-4946-9BFA-54582E0280D1}" id="{E1B2E23B-75C5-4403-9834-0376F3F9CE70}">
    <text>If you select yes to this column - the user ID in Azure will be deleted via a change to an AD attribute.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resourceowner.zurich.com/Groups/RetrieveGroupsLis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resourceowner.zurich.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wpsfukserver\HR_Folder\HR_data" TargetMode="External"/><Relationship Id="rId1" Type="http://schemas.openxmlformats.org/officeDocument/2006/relationships/hyperlink" Target="file:///\\FullShareName\Example\Example%20folder"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54D9-A481-4F94-A1D2-8983D8760DFA}">
  <dimension ref="A1:R3"/>
  <sheetViews>
    <sheetView topLeftCell="J1" workbookViewId="0">
      <selection activeCell="A3" sqref="A3"/>
    </sheetView>
  </sheetViews>
  <sheetFormatPr defaultColWidth="11.453125" defaultRowHeight="12.5" x14ac:dyDescent="0.25"/>
  <cols>
    <col min="1" max="1" width="17" style="49" customWidth="1"/>
    <col min="2" max="2" width="13.453125" style="49" customWidth="1"/>
    <col min="3" max="3" width="17.453125" style="49" customWidth="1"/>
    <col min="4" max="4" width="21.453125" style="49" bestFit="1" customWidth="1"/>
    <col min="5" max="5" width="11.453125" style="49" customWidth="1"/>
    <col min="6" max="6" width="11.54296875" style="49" customWidth="1"/>
    <col min="7" max="7" width="15.6328125" style="49" bestFit="1" customWidth="1"/>
    <col min="8" max="8" width="18.54296875" style="49" customWidth="1"/>
    <col min="9" max="9" width="9.36328125" style="49" customWidth="1"/>
    <col min="10" max="10" width="18" style="49" bestFit="1" customWidth="1"/>
    <col min="11" max="11" width="17" style="49" customWidth="1"/>
    <col min="12" max="12" width="19" style="49" customWidth="1"/>
    <col min="13" max="13" width="35.54296875" style="50" bestFit="1" customWidth="1"/>
    <col min="14" max="15" width="35.54296875" style="50" customWidth="1"/>
    <col min="16" max="17" width="15.54296875" style="49" bestFit="1" customWidth="1"/>
    <col min="18" max="18" width="15.36328125" style="49" bestFit="1" customWidth="1"/>
    <col min="19" max="16384" width="11.453125" style="49"/>
  </cols>
  <sheetData>
    <row r="1" spans="1:18" s="58" customFormat="1" ht="57" customHeight="1" x14ac:dyDescent="0.25">
      <c r="A1" s="62" t="s">
        <v>17</v>
      </c>
      <c r="B1" s="61" t="s">
        <v>0</v>
      </c>
      <c r="C1" s="59" t="s">
        <v>21</v>
      </c>
      <c r="D1" s="54" t="s">
        <v>4</v>
      </c>
      <c r="E1" s="54" t="s">
        <v>13</v>
      </c>
      <c r="F1" s="61" t="s">
        <v>6</v>
      </c>
      <c r="G1" s="61" t="s">
        <v>8</v>
      </c>
      <c r="H1" s="54" t="s">
        <v>27</v>
      </c>
      <c r="I1" s="60" t="s">
        <v>11</v>
      </c>
      <c r="J1" s="60" t="s">
        <v>23</v>
      </c>
      <c r="K1" s="59" t="s">
        <v>45</v>
      </c>
      <c r="L1" s="54" t="s">
        <v>2</v>
      </c>
      <c r="M1" s="59" t="s">
        <v>40</v>
      </c>
      <c r="N1" s="59" t="s">
        <v>220</v>
      </c>
      <c r="O1" s="59" t="s">
        <v>228</v>
      </c>
      <c r="P1" s="54" t="s">
        <v>19</v>
      </c>
      <c r="Q1" s="54" t="s">
        <v>20</v>
      </c>
      <c r="R1" s="54" t="s">
        <v>22</v>
      </c>
    </row>
    <row r="2" spans="1:18" s="52" customFormat="1" x14ac:dyDescent="0.25">
      <c r="A2" s="53" t="s">
        <v>30</v>
      </c>
      <c r="B2" s="53" t="s">
        <v>12</v>
      </c>
      <c r="C2" s="53" t="s">
        <v>3</v>
      </c>
      <c r="D2" s="53" t="s">
        <v>5</v>
      </c>
      <c r="E2" s="53" t="s">
        <v>14</v>
      </c>
      <c r="F2" s="53" t="s">
        <v>7</v>
      </c>
      <c r="G2" s="53" t="s">
        <v>9</v>
      </c>
      <c r="H2" s="57" t="s">
        <v>26</v>
      </c>
      <c r="I2" s="54" t="s">
        <v>11</v>
      </c>
      <c r="J2" s="53" t="s">
        <v>106</v>
      </c>
      <c r="K2" s="53" t="s">
        <v>44</v>
      </c>
      <c r="L2" s="53" t="s">
        <v>15</v>
      </c>
      <c r="M2" s="56" t="s">
        <v>46</v>
      </c>
      <c r="N2" s="55" t="s">
        <v>217</v>
      </c>
      <c r="O2" s="55" t="s">
        <v>229</v>
      </c>
      <c r="P2" s="54" t="s">
        <v>19</v>
      </c>
      <c r="Q2" s="53" t="s">
        <v>18</v>
      </c>
      <c r="R2" s="53" t="s">
        <v>18</v>
      </c>
    </row>
    <row r="3" spans="1:18" ht="14.5" x14ac:dyDescent="0.25">
      <c r="O3" s="51"/>
    </row>
  </sheetData>
  <pageMargins left="0.75" right="0.75" top="1" bottom="1" header="0.5" footer="0.5"/>
  <pageSetup paperSize="9" orientation="portrait" r:id="rId1"/>
  <headerFooter alignWithMargins="0">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24AA-03C6-42CD-B6A0-820B02B04FB3}">
  <dimension ref="A1:K2"/>
  <sheetViews>
    <sheetView workbookViewId="0">
      <selection activeCell="C1" sqref="C1:C1048576"/>
    </sheetView>
  </sheetViews>
  <sheetFormatPr defaultRowHeight="12.5" x14ac:dyDescent="0.25"/>
  <cols>
    <col min="1" max="1" width="14.6328125" bestFit="1" customWidth="1"/>
    <col min="3" max="4" width="19.36328125" bestFit="1" customWidth="1"/>
    <col min="5" max="5" width="17.453125" bestFit="1" customWidth="1"/>
    <col min="6" max="6" width="21.6328125" customWidth="1"/>
    <col min="7" max="7" width="10" bestFit="1" customWidth="1"/>
    <col min="9" max="9" width="11.6328125" bestFit="1" customWidth="1"/>
    <col min="10" max="10" width="19.36328125" bestFit="1" customWidth="1"/>
    <col min="11" max="11" width="16.36328125" bestFit="1" customWidth="1"/>
  </cols>
  <sheetData>
    <row r="1" spans="1:11" s="66" customFormat="1" ht="55.5" customHeight="1" x14ac:dyDescent="0.25">
      <c r="A1" s="63" t="s">
        <v>17</v>
      </c>
      <c r="B1" s="63" t="s">
        <v>16</v>
      </c>
      <c r="C1" s="64" t="s">
        <v>40</v>
      </c>
      <c r="D1" s="64" t="s">
        <v>39</v>
      </c>
      <c r="E1" s="65" t="s">
        <v>225</v>
      </c>
      <c r="F1" s="64" t="s">
        <v>228</v>
      </c>
      <c r="G1" s="65" t="s">
        <v>36</v>
      </c>
      <c r="H1" s="65" t="s">
        <v>37</v>
      </c>
      <c r="I1" s="65" t="s">
        <v>38</v>
      </c>
      <c r="J1" s="65" t="s">
        <v>189</v>
      </c>
      <c r="K1" s="65" t="s">
        <v>194</v>
      </c>
    </row>
    <row r="2" spans="1:11" s="66" customFormat="1" x14ac:dyDescent="0.25">
      <c r="A2" s="67" t="s">
        <v>30</v>
      </c>
      <c r="B2" s="65" t="s">
        <v>3</v>
      </c>
      <c r="C2" s="68" t="s">
        <v>32</v>
      </c>
      <c r="D2" s="67" t="s">
        <v>31</v>
      </c>
      <c r="E2" s="67" t="s">
        <v>217</v>
      </c>
      <c r="F2" s="69" t="s">
        <v>229</v>
      </c>
      <c r="G2" s="67" t="s">
        <v>5</v>
      </c>
      <c r="H2" s="67" t="s">
        <v>7</v>
      </c>
      <c r="I2" s="67" t="s">
        <v>35</v>
      </c>
      <c r="J2" s="67" t="s">
        <v>193</v>
      </c>
      <c r="K2" s="67" t="s">
        <v>195</v>
      </c>
    </row>
  </sheetData>
  <pageMargins left="0.7" right="0.7" top="0.75" bottom="0.75" header="0.3" footer="0.3"/>
  <pageSetup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6EC7-810D-445E-85B8-7145ADC04F53}">
  <dimension ref="A1:K8"/>
  <sheetViews>
    <sheetView workbookViewId="0">
      <selection activeCell="D9" sqref="D9"/>
    </sheetView>
  </sheetViews>
  <sheetFormatPr defaultRowHeight="12.5" x14ac:dyDescent="0.25"/>
  <cols>
    <col min="1" max="1" width="14.6328125" bestFit="1" customWidth="1"/>
    <col min="2" max="2" width="16.6328125" bestFit="1" customWidth="1"/>
    <col min="3" max="3" width="16.6328125" customWidth="1"/>
    <col min="4" max="4" width="16.36328125" bestFit="1" customWidth="1"/>
    <col min="5" max="6" width="18.54296875" bestFit="1" customWidth="1"/>
    <col min="7" max="7" width="19.54296875" bestFit="1" customWidth="1"/>
    <col min="8" max="8" width="31.54296875" customWidth="1"/>
    <col min="11" max="11" width="54.6328125" customWidth="1"/>
  </cols>
  <sheetData>
    <row r="1" spans="1:11" ht="5.25" customHeight="1" x14ac:dyDescent="0.25"/>
    <row r="2" spans="1:11" hidden="1" x14ac:dyDescent="0.25"/>
    <row r="3" spans="1:11" hidden="1" x14ac:dyDescent="0.25"/>
    <row r="4" spans="1:11" hidden="1" x14ac:dyDescent="0.25"/>
    <row r="5" spans="1:11" hidden="1" x14ac:dyDescent="0.25"/>
    <row r="6" spans="1:11" ht="126" customHeight="1" x14ac:dyDescent="0.3">
      <c r="A6" s="93" t="s">
        <v>240</v>
      </c>
      <c r="B6" s="94"/>
      <c r="C6" s="94"/>
      <c r="D6" s="94"/>
      <c r="E6" s="94"/>
      <c r="F6" s="94"/>
      <c r="G6" s="94"/>
      <c r="H6" s="32"/>
      <c r="K6" s="70" t="s">
        <v>241</v>
      </c>
    </row>
    <row r="7" spans="1:11" ht="37.5" x14ac:dyDescent="0.25">
      <c r="A7" s="72" t="s">
        <v>17</v>
      </c>
      <c r="B7" s="29" t="s">
        <v>91</v>
      </c>
      <c r="C7" s="29" t="s">
        <v>236</v>
      </c>
      <c r="D7" s="29" t="s">
        <v>237</v>
      </c>
      <c r="E7" s="29" t="s">
        <v>238</v>
      </c>
      <c r="F7" s="29" t="s">
        <v>239</v>
      </c>
      <c r="G7" s="29"/>
      <c r="H7" s="30" t="s">
        <v>90</v>
      </c>
    </row>
    <row r="8" spans="1:11" x14ac:dyDescent="0.25">
      <c r="A8" s="1" t="s">
        <v>30</v>
      </c>
      <c r="B8" s="1" t="s">
        <v>3</v>
      </c>
      <c r="C8" s="27"/>
      <c r="D8" s="27"/>
      <c r="E8" s="1"/>
      <c r="F8" s="1"/>
      <c r="G8" s="1"/>
      <c r="H8" s="1" t="s">
        <v>99</v>
      </c>
    </row>
  </sheetData>
  <mergeCells count="1">
    <mergeCell ref="A6:G6"/>
  </mergeCells>
  <pageMargins left="0.7" right="0.7" top="0.75" bottom="0.75" header="0.3" footer="0.3"/>
  <pageSetup orientation="portrait" r:id="rId1"/>
  <headerFooter>
    <oddFooter>&amp;L&amp;1#&amp;"Calibri"&amp;10&amp;K000000INTERNAL USE ONLY</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FE4BE10-87DA-4809-84D7-0C38A9EFB2C9}">
          <x14:formula1>
            <xm:f>Dropdowns!$A$2:$A$3</xm:f>
          </x14:formula1>
          <xm:sqref>E9:F9</xm:sqref>
        </x14:dataValidation>
        <x14:dataValidation type="list" allowBlank="1" showInputMessage="1" showErrorMessage="1" xr:uid="{33A1DE47-7D68-4A64-B03A-6AD486A0BDBD}">
          <x14:formula1>
            <xm:f>Dropdowns!$E$2:$E$7</xm:f>
          </x14:formula1>
          <xm:sqref>C9:D9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73"/>
  <sheetViews>
    <sheetView topLeftCell="M1" zoomScale="70" zoomScaleNormal="70" workbookViewId="0">
      <selection activeCell="M13" sqref="A13:XFD13"/>
    </sheetView>
  </sheetViews>
  <sheetFormatPr defaultRowHeight="32.25" customHeight="1" x14ac:dyDescent="0.25"/>
  <cols>
    <col min="1" max="1" width="10.36328125" bestFit="1" customWidth="1"/>
    <col min="2" max="2" width="60.36328125" bestFit="1" customWidth="1"/>
    <col min="3" max="3" width="9.54296875" bestFit="1" customWidth="1"/>
    <col min="5" max="5" width="31.08984375" bestFit="1" customWidth="1"/>
    <col min="7" max="7" width="11.54296875" bestFit="1" customWidth="1"/>
    <col min="8" max="8" width="55" bestFit="1" customWidth="1"/>
    <col min="9" max="9" width="10" style="75" customWidth="1"/>
    <col min="11" max="11" width="45.453125" bestFit="1" customWidth="1"/>
    <col min="12" max="12" width="48.08984375" bestFit="1" customWidth="1"/>
    <col min="14" max="14" width="35.453125" bestFit="1" customWidth="1"/>
    <col min="15" max="15" width="114.36328125" bestFit="1" customWidth="1"/>
    <col min="16" max="16" width="48.36328125" bestFit="1" customWidth="1"/>
    <col min="17" max="18" width="21.453125" bestFit="1" customWidth="1"/>
  </cols>
  <sheetData>
    <row r="1" spans="1:19" ht="32.25" customHeight="1" x14ac:dyDescent="0.3">
      <c r="A1" s="3" t="s">
        <v>190</v>
      </c>
      <c r="B1" s="3" t="s">
        <v>191</v>
      </c>
      <c r="C1" s="3" t="s">
        <v>192</v>
      </c>
      <c r="E1" s="71" t="s">
        <v>244</v>
      </c>
      <c r="H1" s="71" t="s">
        <v>249</v>
      </c>
      <c r="I1" s="76"/>
      <c r="K1" s="83" t="s">
        <v>256</v>
      </c>
      <c r="L1" s="84" t="s">
        <v>257</v>
      </c>
      <c r="N1" s="86" t="s">
        <v>265</v>
      </c>
      <c r="O1" s="86" t="s">
        <v>266</v>
      </c>
      <c r="P1" s="86" t="s">
        <v>266</v>
      </c>
      <c r="Q1" s="86" t="s">
        <v>266</v>
      </c>
      <c r="R1" s="86" t="s">
        <v>266</v>
      </c>
    </row>
    <row r="2" spans="1:19" ht="32.25" customHeight="1" thickBot="1" x14ac:dyDescent="0.5">
      <c r="A2" s="37" t="s">
        <v>93</v>
      </c>
      <c r="B2" s="39" t="s">
        <v>196</v>
      </c>
      <c r="C2" s="37" t="s">
        <v>188</v>
      </c>
      <c r="E2" s="37" t="s">
        <v>230</v>
      </c>
      <c r="G2" s="79"/>
      <c r="H2" s="37" t="s">
        <v>251</v>
      </c>
      <c r="I2" s="74"/>
      <c r="K2" s="85" t="s">
        <v>297</v>
      </c>
      <c r="L2" s="85" t="s">
        <v>258</v>
      </c>
      <c r="N2" s="85" t="s">
        <v>375</v>
      </c>
      <c r="O2" s="87" t="s">
        <v>267</v>
      </c>
      <c r="P2" s="87" t="s">
        <v>368</v>
      </c>
      <c r="Q2" s="75" t="s">
        <v>284</v>
      </c>
      <c r="R2" s="91" t="s">
        <v>366</v>
      </c>
      <c r="S2" s="37"/>
    </row>
    <row r="3" spans="1:19" ht="32.25" customHeight="1" thickTop="1" thickBot="1" x14ac:dyDescent="0.5">
      <c r="A3" s="37" t="s">
        <v>116</v>
      </c>
      <c r="B3" s="39" t="s">
        <v>117</v>
      </c>
      <c r="C3" s="37" t="s">
        <v>188</v>
      </c>
      <c r="E3" t="s">
        <v>231</v>
      </c>
      <c r="G3" s="80"/>
      <c r="H3" s="37" t="s">
        <v>252</v>
      </c>
      <c r="I3" s="74"/>
      <c r="K3" s="85" t="s">
        <v>298</v>
      </c>
      <c r="L3" s="85" t="s">
        <v>259</v>
      </c>
      <c r="N3" s="85" t="s">
        <v>377</v>
      </c>
      <c r="O3" s="87" t="s">
        <v>268</v>
      </c>
      <c r="P3" s="87" t="s">
        <v>369</v>
      </c>
      <c r="Q3" s="75" t="s">
        <v>284</v>
      </c>
      <c r="R3" s="91" t="s">
        <v>366</v>
      </c>
      <c r="S3" s="37"/>
    </row>
    <row r="4" spans="1:19" ht="32.25" customHeight="1" thickTop="1" thickBot="1" x14ac:dyDescent="0.5">
      <c r="B4" s="39" t="s">
        <v>118</v>
      </c>
      <c r="C4" s="37" t="s">
        <v>188</v>
      </c>
      <c r="E4" t="s">
        <v>232</v>
      </c>
      <c r="G4" s="80"/>
      <c r="H4" s="37" t="s">
        <v>253</v>
      </c>
      <c r="I4" s="74"/>
      <c r="K4" s="85" t="s">
        <v>299</v>
      </c>
      <c r="L4" s="85" t="s">
        <v>260</v>
      </c>
      <c r="N4" s="85" t="s">
        <v>376</v>
      </c>
      <c r="O4" s="87" t="s">
        <v>269</v>
      </c>
      <c r="P4" s="87" t="s">
        <v>270</v>
      </c>
      <c r="Q4" s="75" t="s">
        <v>284</v>
      </c>
      <c r="R4" s="91" t="s">
        <v>366</v>
      </c>
      <c r="S4" s="37"/>
    </row>
    <row r="5" spans="1:19" ht="32.25" customHeight="1" thickTop="1" x14ac:dyDescent="0.45">
      <c r="B5" s="39" t="s">
        <v>119</v>
      </c>
      <c r="C5" s="37" t="s">
        <v>188</v>
      </c>
      <c r="E5" t="s">
        <v>233</v>
      </c>
      <c r="G5" s="81"/>
      <c r="I5" s="74"/>
      <c r="K5" s="85" t="s">
        <v>300</v>
      </c>
      <c r="L5" s="85" t="s">
        <v>261</v>
      </c>
      <c r="N5" s="85" t="s">
        <v>378</v>
      </c>
      <c r="O5" s="87" t="s">
        <v>271</v>
      </c>
      <c r="P5" s="87" t="s">
        <v>272</v>
      </c>
      <c r="Q5" s="75" t="s">
        <v>284</v>
      </c>
      <c r="R5" s="91" t="s">
        <v>366</v>
      </c>
      <c r="S5" s="37"/>
    </row>
    <row r="6" spans="1:19" ht="32.25" customHeight="1" x14ac:dyDescent="0.45">
      <c r="B6" s="39" t="s">
        <v>120</v>
      </c>
      <c r="C6" s="37" t="s">
        <v>188</v>
      </c>
      <c r="E6" t="s">
        <v>234</v>
      </c>
      <c r="I6" s="74"/>
      <c r="K6" s="85" t="s">
        <v>301</v>
      </c>
      <c r="L6" s="85" t="s">
        <v>262</v>
      </c>
      <c r="N6" s="85" t="s">
        <v>379</v>
      </c>
      <c r="O6" s="87" t="s">
        <v>273</v>
      </c>
      <c r="P6" s="87" t="s">
        <v>291</v>
      </c>
      <c r="Q6" s="75" t="s">
        <v>284</v>
      </c>
      <c r="R6" s="91" t="s">
        <v>366</v>
      </c>
      <c r="S6" s="37"/>
    </row>
    <row r="7" spans="1:19" ht="32.25" customHeight="1" x14ac:dyDescent="0.45">
      <c r="B7" s="39" t="s">
        <v>121</v>
      </c>
      <c r="C7" s="37" t="s">
        <v>188</v>
      </c>
      <c r="E7" t="s">
        <v>235</v>
      </c>
      <c r="I7" s="74"/>
      <c r="K7" s="85" t="s">
        <v>302</v>
      </c>
      <c r="L7" s="85" t="s">
        <v>263</v>
      </c>
      <c r="N7" s="85" t="s">
        <v>380</v>
      </c>
      <c r="O7" s="87" t="s">
        <v>271</v>
      </c>
      <c r="P7" s="87" t="s">
        <v>362</v>
      </c>
      <c r="Q7" s="75" t="s">
        <v>284</v>
      </c>
      <c r="R7" s="91" t="s">
        <v>366</v>
      </c>
      <c r="S7" s="37"/>
    </row>
    <row r="8" spans="1:19" ht="32.25" customHeight="1" x14ac:dyDescent="0.45">
      <c r="B8" s="39" t="s">
        <v>122</v>
      </c>
      <c r="C8" s="37" t="s">
        <v>188</v>
      </c>
      <c r="I8" s="73"/>
      <c r="K8" s="85" t="s">
        <v>370</v>
      </c>
      <c r="N8" s="85" t="s">
        <v>381</v>
      </c>
      <c r="O8" s="87" t="s">
        <v>367</v>
      </c>
      <c r="P8" s="87" t="s">
        <v>368</v>
      </c>
      <c r="Q8" s="75" t="s">
        <v>284</v>
      </c>
      <c r="R8" s="91" t="s">
        <v>366</v>
      </c>
      <c r="S8" s="37"/>
    </row>
    <row r="9" spans="1:19" ht="32.25" customHeight="1" x14ac:dyDescent="0.45">
      <c r="B9" s="39" t="s">
        <v>123</v>
      </c>
      <c r="C9" s="37" t="s">
        <v>188</v>
      </c>
      <c r="I9" s="74"/>
      <c r="K9" s="85" t="s">
        <v>303</v>
      </c>
      <c r="N9" s="85" t="s">
        <v>382</v>
      </c>
      <c r="O9" s="87" t="s">
        <v>274</v>
      </c>
      <c r="P9" s="87" t="s">
        <v>368</v>
      </c>
      <c r="Q9" s="75" t="s">
        <v>284</v>
      </c>
      <c r="R9" s="91" t="s">
        <v>366</v>
      </c>
      <c r="S9" s="37"/>
    </row>
    <row r="10" spans="1:19" ht="32.25" customHeight="1" x14ac:dyDescent="0.45">
      <c r="B10" s="39" t="s">
        <v>124</v>
      </c>
      <c r="C10" s="37" t="s">
        <v>188</v>
      </c>
      <c r="I10" s="74"/>
      <c r="K10" s="85" t="s">
        <v>304</v>
      </c>
      <c r="N10" s="85" t="s">
        <v>383</v>
      </c>
      <c r="O10" s="87" t="s">
        <v>275</v>
      </c>
      <c r="P10" s="87" t="s">
        <v>368</v>
      </c>
      <c r="Q10" s="75" t="s">
        <v>284</v>
      </c>
      <c r="R10" s="91" t="s">
        <v>366</v>
      </c>
      <c r="S10" s="37"/>
    </row>
    <row r="11" spans="1:19" ht="32.25" customHeight="1" x14ac:dyDescent="0.45">
      <c r="B11" s="39" t="s">
        <v>125</v>
      </c>
      <c r="C11" s="37" t="s">
        <v>188</v>
      </c>
      <c r="I11" s="74"/>
      <c r="K11" s="85" t="s">
        <v>305</v>
      </c>
      <c r="N11" s="85" t="s">
        <v>276</v>
      </c>
      <c r="O11" s="87" t="s">
        <v>277</v>
      </c>
      <c r="P11" s="87" t="s">
        <v>368</v>
      </c>
      <c r="Q11" s="75" t="s">
        <v>284</v>
      </c>
      <c r="R11" s="91" t="s">
        <v>366</v>
      </c>
      <c r="S11" s="37"/>
    </row>
    <row r="12" spans="1:19" ht="32.25" customHeight="1" x14ac:dyDescent="0.45">
      <c r="B12" s="39" t="s">
        <v>126</v>
      </c>
      <c r="C12" s="37" t="s">
        <v>188</v>
      </c>
      <c r="I12" s="74"/>
      <c r="K12" s="85" t="s">
        <v>306</v>
      </c>
      <c r="N12" s="85" t="s">
        <v>384</v>
      </c>
      <c r="O12" s="87" t="s">
        <v>278</v>
      </c>
      <c r="P12" s="87" t="s">
        <v>292</v>
      </c>
      <c r="Q12" s="75" t="s">
        <v>284</v>
      </c>
      <c r="R12" s="91" t="s">
        <v>366</v>
      </c>
      <c r="S12" s="37"/>
    </row>
    <row r="13" spans="1:19" ht="32.25" customHeight="1" x14ac:dyDescent="0.45">
      <c r="B13" s="39" t="s">
        <v>127</v>
      </c>
      <c r="C13" s="37" t="s">
        <v>188</v>
      </c>
      <c r="I13" s="74"/>
      <c r="K13" s="85" t="s">
        <v>307</v>
      </c>
      <c r="N13" s="85" t="s">
        <v>385</v>
      </c>
      <c r="O13" s="87" t="s">
        <v>279</v>
      </c>
      <c r="P13" s="87" t="s">
        <v>368</v>
      </c>
      <c r="Q13" s="75" t="s">
        <v>284</v>
      </c>
      <c r="R13" s="91" t="s">
        <v>366</v>
      </c>
      <c r="S13" s="37"/>
    </row>
    <row r="14" spans="1:19" ht="32.25" customHeight="1" x14ac:dyDescent="0.45">
      <c r="B14" s="39" t="s">
        <v>128</v>
      </c>
      <c r="C14" s="37" t="s">
        <v>188</v>
      </c>
      <c r="I14" s="74"/>
      <c r="K14" s="85" t="s">
        <v>308</v>
      </c>
      <c r="N14" s="85" t="s">
        <v>374</v>
      </c>
      <c r="O14" s="88" t="s">
        <v>280</v>
      </c>
      <c r="P14" s="87" t="s">
        <v>281</v>
      </c>
      <c r="Q14" s="75" t="s">
        <v>284</v>
      </c>
      <c r="R14" s="91" t="s">
        <v>366</v>
      </c>
      <c r="S14" s="37"/>
    </row>
    <row r="15" spans="1:19" ht="32.25" customHeight="1" x14ac:dyDescent="0.45">
      <c r="B15" s="39" t="s">
        <v>129</v>
      </c>
      <c r="C15" s="37" t="s">
        <v>188</v>
      </c>
      <c r="I15" s="74"/>
      <c r="K15" s="85" t="s">
        <v>371</v>
      </c>
      <c r="N15" s="85" t="s">
        <v>373</v>
      </c>
      <c r="O15" s="87" t="s">
        <v>282</v>
      </c>
      <c r="P15" s="87" t="s">
        <v>283</v>
      </c>
      <c r="Q15" s="75" t="s">
        <v>284</v>
      </c>
      <c r="R15" s="91" t="s">
        <v>366</v>
      </c>
      <c r="S15" s="37"/>
    </row>
    <row r="16" spans="1:19" ht="32.25" customHeight="1" x14ac:dyDescent="0.45">
      <c r="B16" s="39" t="s">
        <v>130</v>
      </c>
      <c r="C16" s="37" t="s">
        <v>188</v>
      </c>
      <c r="I16" s="74"/>
      <c r="K16" s="85" t="s">
        <v>309</v>
      </c>
      <c r="N16" s="85" t="s">
        <v>386</v>
      </c>
      <c r="O16" s="87" t="s">
        <v>294</v>
      </c>
      <c r="P16" s="87" t="s">
        <v>368</v>
      </c>
      <c r="Q16" s="75" t="s">
        <v>284</v>
      </c>
      <c r="R16" s="91" t="s">
        <v>366</v>
      </c>
      <c r="S16" s="37"/>
    </row>
    <row r="17" spans="2:19" ht="32.25" customHeight="1" x14ac:dyDescent="0.45">
      <c r="B17" s="39" t="s">
        <v>131</v>
      </c>
      <c r="C17" s="37" t="s">
        <v>188</v>
      </c>
      <c r="I17" s="74"/>
      <c r="K17" s="85" t="s">
        <v>310</v>
      </c>
      <c r="N17" s="85" t="s">
        <v>387</v>
      </c>
      <c r="O17" s="87" t="s">
        <v>271</v>
      </c>
      <c r="P17" s="87" t="s">
        <v>293</v>
      </c>
      <c r="Q17" s="75" t="s">
        <v>284</v>
      </c>
      <c r="R17" s="91" t="s">
        <v>366</v>
      </c>
      <c r="S17" s="37"/>
    </row>
    <row r="18" spans="2:19" ht="32.25" customHeight="1" x14ac:dyDescent="0.45">
      <c r="B18" s="39" t="s">
        <v>132</v>
      </c>
      <c r="C18" s="37" t="s">
        <v>188</v>
      </c>
      <c r="I18" s="74"/>
      <c r="K18" s="85" t="s">
        <v>311</v>
      </c>
      <c r="N18" s="85" t="s">
        <v>388</v>
      </c>
      <c r="O18" s="87" t="s">
        <v>295</v>
      </c>
      <c r="P18" s="87" t="s">
        <v>368</v>
      </c>
      <c r="Q18" s="75" t="s">
        <v>284</v>
      </c>
      <c r="R18" s="91" t="s">
        <v>366</v>
      </c>
      <c r="S18" s="37"/>
    </row>
    <row r="19" spans="2:19" ht="32.25" customHeight="1" x14ac:dyDescent="0.45">
      <c r="B19" s="39" t="s">
        <v>133</v>
      </c>
      <c r="C19" s="37" t="s">
        <v>188</v>
      </c>
      <c r="I19" s="74"/>
      <c r="K19" s="85" t="s">
        <v>312</v>
      </c>
      <c r="N19" s="85" t="s">
        <v>389</v>
      </c>
      <c r="O19" s="87" t="s">
        <v>296</v>
      </c>
      <c r="P19" s="87" t="s">
        <v>368</v>
      </c>
      <c r="Q19" s="75" t="s">
        <v>284</v>
      </c>
      <c r="R19" s="91" t="s">
        <v>366</v>
      </c>
      <c r="S19" s="37"/>
    </row>
    <row r="20" spans="2:19" ht="32.25" customHeight="1" x14ac:dyDescent="0.25">
      <c r="B20" s="39" t="s">
        <v>134</v>
      </c>
      <c r="C20" s="37" t="s">
        <v>188</v>
      </c>
      <c r="I20" s="74"/>
      <c r="K20" s="85" t="s">
        <v>372</v>
      </c>
    </row>
    <row r="21" spans="2:19" ht="32.25" customHeight="1" x14ac:dyDescent="0.25">
      <c r="B21" s="39" t="s">
        <v>135</v>
      </c>
      <c r="C21" s="37" t="s">
        <v>188</v>
      </c>
      <c r="K21" s="85" t="s">
        <v>313</v>
      </c>
    </row>
    <row r="22" spans="2:19" ht="32.25" customHeight="1" x14ac:dyDescent="0.25">
      <c r="B22" s="39" t="s">
        <v>136</v>
      </c>
      <c r="C22" s="37" t="s">
        <v>188</v>
      </c>
      <c r="K22" s="85" t="s">
        <v>314</v>
      </c>
    </row>
    <row r="23" spans="2:19" ht="32.25" customHeight="1" x14ac:dyDescent="0.25">
      <c r="B23" s="39" t="s">
        <v>137</v>
      </c>
      <c r="C23" s="37" t="s">
        <v>188</v>
      </c>
      <c r="K23" s="85" t="s">
        <v>315</v>
      </c>
    </row>
    <row r="24" spans="2:19" ht="32.25" customHeight="1" x14ac:dyDescent="0.25">
      <c r="B24" s="39" t="s">
        <v>138</v>
      </c>
      <c r="C24" s="37" t="s">
        <v>188</v>
      </c>
      <c r="K24" s="85" t="s">
        <v>316</v>
      </c>
    </row>
    <row r="25" spans="2:19" ht="32.25" customHeight="1" x14ac:dyDescent="0.25">
      <c r="B25" s="39" t="s">
        <v>139</v>
      </c>
      <c r="C25" s="37" t="s">
        <v>188</v>
      </c>
      <c r="K25" s="85" t="s">
        <v>317</v>
      </c>
    </row>
    <row r="26" spans="2:19" ht="32.25" customHeight="1" x14ac:dyDescent="0.25">
      <c r="B26" s="39" t="s">
        <v>140</v>
      </c>
      <c r="C26" s="37" t="s">
        <v>188</v>
      </c>
      <c r="K26" s="85" t="s">
        <v>318</v>
      </c>
    </row>
    <row r="27" spans="2:19" ht="32.25" customHeight="1" x14ac:dyDescent="0.25">
      <c r="B27" s="39" t="s">
        <v>141</v>
      </c>
      <c r="C27" s="37" t="s">
        <v>188</v>
      </c>
      <c r="K27" s="85" t="s">
        <v>319</v>
      </c>
    </row>
    <row r="28" spans="2:19" ht="32.25" customHeight="1" x14ac:dyDescent="0.25">
      <c r="B28" s="39" t="s">
        <v>142</v>
      </c>
      <c r="C28" s="37" t="s">
        <v>188</v>
      </c>
      <c r="K28" s="85" t="s">
        <v>320</v>
      </c>
    </row>
    <row r="29" spans="2:19" ht="32.25" customHeight="1" x14ac:dyDescent="0.25">
      <c r="B29" s="39" t="s">
        <v>143</v>
      </c>
      <c r="C29" s="37" t="s">
        <v>188</v>
      </c>
      <c r="K29" s="85" t="s">
        <v>321</v>
      </c>
    </row>
    <row r="30" spans="2:19" ht="32.25" customHeight="1" x14ac:dyDescent="0.25">
      <c r="B30" s="39" t="s">
        <v>144</v>
      </c>
      <c r="C30" s="37" t="s">
        <v>188</v>
      </c>
      <c r="K30" s="85" t="s">
        <v>322</v>
      </c>
    </row>
    <row r="31" spans="2:19" ht="32.25" customHeight="1" x14ac:dyDescent="0.25">
      <c r="B31" s="39" t="s">
        <v>145</v>
      </c>
      <c r="C31" s="37" t="s">
        <v>188</v>
      </c>
      <c r="K31" s="85" t="s">
        <v>323</v>
      </c>
    </row>
    <row r="32" spans="2:19" ht="32.25" customHeight="1" x14ac:dyDescent="0.25">
      <c r="B32" s="39" t="s">
        <v>146</v>
      </c>
      <c r="C32" s="37" t="s">
        <v>188</v>
      </c>
      <c r="K32" s="85" t="s">
        <v>324</v>
      </c>
    </row>
    <row r="33" spans="2:11" ht="32.25" customHeight="1" x14ac:dyDescent="0.25">
      <c r="B33" s="39" t="s">
        <v>147</v>
      </c>
      <c r="C33" s="37" t="s">
        <v>188</v>
      </c>
      <c r="K33" s="85" t="s">
        <v>325</v>
      </c>
    </row>
    <row r="34" spans="2:11" ht="32.25" customHeight="1" x14ac:dyDescent="0.25">
      <c r="B34" s="39" t="s">
        <v>148</v>
      </c>
      <c r="C34" s="37" t="s">
        <v>188</v>
      </c>
      <c r="K34" s="85" t="s">
        <v>326</v>
      </c>
    </row>
    <row r="35" spans="2:11" ht="32.25" customHeight="1" x14ac:dyDescent="0.25">
      <c r="B35" s="39" t="s">
        <v>149</v>
      </c>
      <c r="C35" s="37" t="s">
        <v>188</v>
      </c>
      <c r="K35" s="85" t="s">
        <v>327</v>
      </c>
    </row>
    <row r="36" spans="2:11" ht="32.25" customHeight="1" x14ac:dyDescent="0.25">
      <c r="B36" s="39" t="s">
        <v>150</v>
      </c>
      <c r="C36" s="37" t="s">
        <v>188</v>
      </c>
      <c r="K36" s="85" t="s">
        <v>328</v>
      </c>
    </row>
    <row r="37" spans="2:11" ht="32.25" customHeight="1" x14ac:dyDescent="0.25">
      <c r="B37" s="39" t="s">
        <v>151</v>
      </c>
      <c r="C37" s="37" t="s">
        <v>188</v>
      </c>
      <c r="K37" s="85" t="s">
        <v>329</v>
      </c>
    </row>
    <row r="38" spans="2:11" ht="32.25" customHeight="1" x14ac:dyDescent="0.25">
      <c r="B38" s="39" t="s">
        <v>152</v>
      </c>
      <c r="C38" s="37" t="s">
        <v>188</v>
      </c>
      <c r="K38" s="85" t="s">
        <v>330</v>
      </c>
    </row>
    <row r="39" spans="2:11" ht="32.25" customHeight="1" x14ac:dyDescent="0.25">
      <c r="B39" s="39" t="s">
        <v>153</v>
      </c>
      <c r="C39" s="37" t="s">
        <v>188</v>
      </c>
      <c r="K39" s="85" t="s">
        <v>331</v>
      </c>
    </row>
    <row r="40" spans="2:11" ht="32.25" customHeight="1" x14ac:dyDescent="0.25">
      <c r="B40" s="39" t="s">
        <v>154</v>
      </c>
      <c r="C40" s="37" t="s">
        <v>188</v>
      </c>
      <c r="K40" s="85" t="s">
        <v>332</v>
      </c>
    </row>
    <row r="41" spans="2:11" ht="32.25" customHeight="1" x14ac:dyDescent="0.25">
      <c r="B41" s="39" t="s">
        <v>155</v>
      </c>
      <c r="C41" s="37" t="s">
        <v>188</v>
      </c>
      <c r="K41" s="85" t="s">
        <v>333</v>
      </c>
    </row>
    <row r="42" spans="2:11" ht="32.25" customHeight="1" x14ac:dyDescent="0.25">
      <c r="B42" s="39" t="s">
        <v>156</v>
      </c>
      <c r="C42" s="37" t="s">
        <v>188</v>
      </c>
      <c r="K42" s="85" t="s">
        <v>334</v>
      </c>
    </row>
    <row r="43" spans="2:11" ht="32.25" customHeight="1" x14ac:dyDescent="0.25">
      <c r="B43" s="39" t="s">
        <v>157</v>
      </c>
      <c r="C43" s="37" t="s">
        <v>188</v>
      </c>
      <c r="K43" s="85" t="s">
        <v>335</v>
      </c>
    </row>
    <row r="44" spans="2:11" ht="32.25" customHeight="1" x14ac:dyDescent="0.25">
      <c r="B44" s="39" t="s">
        <v>158</v>
      </c>
      <c r="C44" s="37" t="s">
        <v>188</v>
      </c>
      <c r="K44" s="85" t="s">
        <v>336</v>
      </c>
    </row>
    <row r="45" spans="2:11" ht="32.25" customHeight="1" x14ac:dyDescent="0.25">
      <c r="B45" s="39" t="s">
        <v>159</v>
      </c>
      <c r="C45" s="37" t="s">
        <v>188</v>
      </c>
      <c r="K45" s="85" t="s">
        <v>337</v>
      </c>
    </row>
    <row r="46" spans="2:11" ht="32.25" customHeight="1" x14ac:dyDescent="0.25">
      <c r="B46" s="39" t="s">
        <v>160</v>
      </c>
      <c r="C46" s="37" t="s">
        <v>188</v>
      </c>
      <c r="K46" s="85" t="s">
        <v>338</v>
      </c>
    </row>
    <row r="47" spans="2:11" ht="32.25" customHeight="1" x14ac:dyDescent="0.25">
      <c r="B47" s="39" t="s">
        <v>161</v>
      </c>
      <c r="C47" s="37" t="s">
        <v>188</v>
      </c>
      <c r="K47" s="85" t="s">
        <v>339</v>
      </c>
    </row>
    <row r="48" spans="2:11" ht="32.25" customHeight="1" x14ac:dyDescent="0.25">
      <c r="B48" s="39" t="s">
        <v>162</v>
      </c>
      <c r="C48" s="37" t="s">
        <v>188</v>
      </c>
      <c r="K48" s="85" t="s">
        <v>340</v>
      </c>
    </row>
    <row r="49" spans="2:11" ht="32.25" customHeight="1" x14ac:dyDescent="0.25">
      <c r="B49" s="39" t="s">
        <v>163</v>
      </c>
      <c r="C49" s="37" t="s">
        <v>188</v>
      </c>
      <c r="K49" s="85" t="s">
        <v>341</v>
      </c>
    </row>
    <row r="50" spans="2:11" ht="32.25" customHeight="1" x14ac:dyDescent="0.25">
      <c r="B50" s="39" t="s">
        <v>164</v>
      </c>
      <c r="C50" s="37" t="s">
        <v>188</v>
      </c>
      <c r="K50" s="85" t="s">
        <v>342</v>
      </c>
    </row>
    <row r="51" spans="2:11" ht="32.25" customHeight="1" x14ac:dyDescent="0.25">
      <c r="B51" s="39" t="s">
        <v>165</v>
      </c>
      <c r="C51" s="37" t="s">
        <v>188</v>
      </c>
      <c r="K51" s="85" t="s">
        <v>343</v>
      </c>
    </row>
    <row r="52" spans="2:11" ht="32.25" customHeight="1" x14ac:dyDescent="0.25">
      <c r="B52" s="39" t="s">
        <v>166</v>
      </c>
      <c r="C52" s="37" t="s">
        <v>188</v>
      </c>
      <c r="K52" s="85" t="s">
        <v>344</v>
      </c>
    </row>
    <row r="53" spans="2:11" ht="32.25" customHeight="1" x14ac:dyDescent="0.25">
      <c r="B53" s="39" t="s">
        <v>167</v>
      </c>
      <c r="C53" s="37" t="s">
        <v>188</v>
      </c>
      <c r="K53" s="85" t="s">
        <v>345</v>
      </c>
    </row>
    <row r="54" spans="2:11" ht="32.25" customHeight="1" x14ac:dyDescent="0.25">
      <c r="B54" s="39" t="s">
        <v>168</v>
      </c>
      <c r="C54" s="37" t="s">
        <v>188</v>
      </c>
      <c r="K54" s="85" t="s">
        <v>346</v>
      </c>
    </row>
    <row r="55" spans="2:11" ht="32.25" customHeight="1" x14ac:dyDescent="0.25">
      <c r="B55" s="39" t="s">
        <v>169</v>
      </c>
      <c r="C55" s="37" t="s">
        <v>188</v>
      </c>
      <c r="K55" s="85" t="s">
        <v>347</v>
      </c>
    </row>
    <row r="56" spans="2:11" ht="32.25" customHeight="1" x14ac:dyDescent="0.25">
      <c r="B56" s="39" t="s">
        <v>170</v>
      </c>
      <c r="C56" s="37" t="s">
        <v>188</v>
      </c>
      <c r="K56" s="85" t="s">
        <v>348</v>
      </c>
    </row>
    <row r="57" spans="2:11" ht="32.25" customHeight="1" x14ac:dyDescent="0.25">
      <c r="B57" s="39" t="s">
        <v>171</v>
      </c>
      <c r="C57" s="37" t="s">
        <v>188</v>
      </c>
      <c r="K57" s="85" t="s">
        <v>349</v>
      </c>
    </row>
    <row r="58" spans="2:11" ht="32.25" customHeight="1" x14ac:dyDescent="0.25">
      <c r="B58" s="39" t="s">
        <v>172</v>
      </c>
      <c r="C58" s="37" t="s">
        <v>188</v>
      </c>
      <c r="K58" s="85" t="s">
        <v>350</v>
      </c>
    </row>
    <row r="59" spans="2:11" ht="32.25" customHeight="1" x14ac:dyDescent="0.25">
      <c r="B59" s="39" t="s">
        <v>173</v>
      </c>
      <c r="C59" s="37" t="s">
        <v>188</v>
      </c>
      <c r="K59" s="85" t="s">
        <v>351</v>
      </c>
    </row>
    <row r="60" spans="2:11" ht="32.25" customHeight="1" x14ac:dyDescent="0.25">
      <c r="B60" s="39" t="s">
        <v>174</v>
      </c>
      <c r="C60" s="37" t="s">
        <v>188</v>
      </c>
      <c r="K60" s="85" t="s">
        <v>352</v>
      </c>
    </row>
    <row r="61" spans="2:11" ht="32.25" customHeight="1" x14ac:dyDescent="0.25">
      <c r="B61" s="39" t="s">
        <v>175</v>
      </c>
      <c r="C61" s="37" t="s">
        <v>188</v>
      </c>
      <c r="K61" s="85" t="s">
        <v>353</v>
      </c>
    </row>
    <row r="62" spans="2:11" ht="32.25" customHeight="1" x14ac:dyDescent="0.25">
      <c r="B62" s="39" t="s">
        <v>176</v>
      </c>
      <c r="C62" s="37" t="s">
        <v>188</v>
      </c>
      <c r="K62" s="85" t="s">
        <v>354</v>
      </c>
    </row>
    <row r="63" spans="2:11" ht="32.25" customHeight="1" x14ac:dyDescent="0.25">
      <c r="B63" s="39" t="s">
        <v>177</v>
      </c>
      <c r="C63" s="37" t="s">
        <v>188</v>
      </c>
      <c r="K63" s="85" t="s">
        <v>355</v>
      </c>
    </row>
    <row r="64" spans="2:11" ht="32.25" customHeight="1" x14ac:dyDescent="0.25">
      <c r="B64" s="39" t="s">
        <v>178</v>
      </c>
      <c r="C64" s="37" t="s">
        <v>188</v>
      </c>
      <c r="K64" s="85" t="s">
        <v>356</v>
      </c>
    </row>
    <row r="65" spans="2:11" ht="32.25" customHeight="1" x14ac:dyDescent="0.25">
      <c r="B65" s="39" t="s">
        <v>179</v>
      </c>
      <c r="C65" s="37" t="s">
        <v>188</v>
      </c>
      <c r="K65" s="85" t="s">
        <v>357</v>
      </c>
    </row>
    <row r="66" spans="2:11" ht="32.25" customHeight="1" x14ac:dyDescent="0.25">
      <c r="B66" s="39" t="s">
        <v>180</v>
      </c>
      <c r="C66" s="37" t="s">
        <v>188</v>
      </c>
      <c r="K66" s="85" t="s">
        <v>358</v>
      </c>
    </row>
    <row r="67" spans="2:11" ht="32.25" customHeight="1" x14ac:dyDescent="0.25">
      <c r="B67" s="39" t="s">
        <v>181</v>
      </c>
      <c r="C67" s="37" t="s">
        <v>188</v>
      </c>
      <c r="K67" s="85" t="s">
        <v>359</v>
      </c>
    </row>
    <row r="68" spans="2:11" ht="32.25" customHeight="1" x14ac:dyDescent="0.25">
      <c r="B68" s="39" t="s">
        <v>182</v>
      </c>
      <c r="C68" s="37" t="s">
        <v>188</v>
      </c>
      <c r="K68" s="85" t="s">
        <v>360</v>
      </c>
    </row>
    <row r="69" spans="2:11" ht="32.25" customHeight="1" x14ac:dyDescent="0.25">
      <c r="B69" s="39" t="s">
        <v>183</v>
      </c>
      <c r="C69" s="37" t="s">
        <v>188</v>
      </c>
      <c r="K69" s="85" t="s">
        <v>361</v>
      </c>
    </row>
    <row r="70" spans="2:11" ht="32.25" customHeight="1" x14ac:dyDescent="0.25">
      <c r="B70" s="39" t="s">
        <v>184</v>
      </c>
      <c r="C70" s="37" t="s">
        <v>188</v>
      </c>
    </row>
    <row r="71" spans="2:11" ht="32.25" customHeight="1" x14ac:dyDescent="0.25">
      <c r="B71" s="39" t="s">
        <v>185</v>
      </c>
      <c r="C71" s="37" t="s">
        <v>188</v>
      </c>
    </row>
    <row r="72" spans="2:11" ht="32.25" customHeight="1" x14ac:dyDescent="0.25">
      <c r="B72" s="39" t="s">
        <v>186</v>
      </c>
      <c r="C72" s="37" t="s">
        <v>188</v>
      </c>
    </row>
    <row r="73" spans="2:11" ht="32.25" customHeight="1" x14ac:dyDescent="0.25">
      <c r="B73" s="39" t="s">
        <v>187</v>
      </c>
    </row>
  </sheetData>
  <phoneticPr fontId="3" type="noConversion"/>
  <pageMargins left="0.7" right="0.7" top="0.75" bottom="0.75" header="0.3" footer="0.3"/>
  <pageSetup paperSize="9" orientation="portrait"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12"/>
  <sheetViews>
    <sheetView zoomScale="80" zoomScaleNormal="80" workbookViewId="0">
      <selection sqref="A1:K1"/>
    </sheetView>
  </sheetViews>
  <sheetFormatPr defaultColWidth="11.453125" defaultRowHeight="12.5" x14ac:dyDescent="0.25"/>
  <cols>
    <col min="1" max="1" width="17.453125" customWidth="1"/>
    <col min="2" max="2" width="13.36328125" bestFit="1" customWidth="1"/>
    <col min="3" max="3" width="68.6328125" bestFit="1" customWidth="1"/>
    <col min="4" max="4" width="21" customWidth="1"/>
    <col min="5" max="5" width="19.54296875" customWidth="1"/>
    <col min="6" max="6" width="30.90625" bestFit="1" customWidth="1"/>
    <col min="7" max="7" width="34.90625" bestFit="1" customWidth="1"/>
    <col min="8" max="10" width="30.90625" customWidth="1"/>
    <col min="11" max="11" width="100.453125" style="10" customWidth="1"/>
    <col min="12" max="12" width="30.6328125" bestFit="1" customWidth="1"/>
    <col min="13" max="13" width="41.6328125" style="10" customWidth="1"/>
    <col min="14" max="14" width="31.54296875" style="10" customWidth="1"/>
    <col min="15" max="15" width="22.6328125" style="10" customWidth="1"/>
    <col min="16" max="16" width="35" style="10" bestFit="1" customWidth="1"/>
    <col min="17" max="18" width="35" style="10" customWidth="1"/>
    <col min="19" max="20" width="38.6328125" bestFit="1" customWidth="1"/>
    <col min="21" max="21" width="14.54296875" bestFit="1" customWidth="1"/>
  </cols>
  <sheetData>
    <row r="1" spans="1:21" ht="107.4" customHeight="1" x14ac:dyDescent="0.7">
      <c r="A1" s="95" t="s">
        <v>391</v>
      </c>
      <c r="B1" s="95"/>
      <c r="C1" s="95"/>
      <c r="D1" s="95"/>
      <c r="E1" s="95"/>
      <c r="F1" s="95"/>
      <c r="G1" s="95"/>
      <c r="H1" s="95"/>
      <c r="I1" s="95"/>
      <c r="J1" s="95"/>
      <c r="K1" s="95"/>
    </row>
    <row r="2" spans="1:21" ht="50" x14ac:dyDescent="0.25">
      <c r="A2" s="5" t="s">
        <v>17</v>
      </c>
      <c r="B2" s="6" t="s">
        <v>24</v>
      </c>
      <c r="C2" s="7" t="s">
        <v>1</v>
      </c>
      <c r="D2" s="24" t="s">
        <v>23</v>
      </c>
      <c r="E2" s="3" t="s">
        <v>28</v>
      </c>
      <c r="F2" s="34" t="s">
        <v>246</v>
      </c>
      <c r="G2" s="82" t="s">
        <v>255</v>
      </c>
      <c r="H2" s="82" t="s">
        <v>285</v>
      </c>
      <c r="I2" s="82" t="s">
        <v>264</v>
      </c>
      <c r="J2" s="90" t="s">
        <v>364</v>
      </c>
      <c r="K2" s="92" t="s">
        <v>289</v>
      </c>
      <c r="L2" s="8" t="s">
        <v>41</v>
      </c>
      <c r="M2" s="8" t="s">
        <v>42</v>
      </c>
      <c r="N2" s="8" t="s">
        <v>197</v>
      </c>
      <c r="O2" s="2" t="s">
        <v>79</v>
      </c>
      <c r="P2" s="3" t="s">
        <v>80</v>
      </c>
      <c r="Q2" s="3" t="s">
        <v>218</v>
      </c>
      <c r="R2" s="3" t="s">
        <v>224</v>
      </c>
      <c r="S2" s="3" t="s">
        <v>248</v>
      </c>
      <c r="T2" s="3" t="s">
        <v>250</v>
      </c>
      <c r="U2" s="3" t="s">
        <v>81</v>
      </c>
    </row>
    <row r="3" spans="1:21" ht="38.5" x14ac:dyDescent="0.3">
      <c r="A3" s="1" t="s">
        <v>30</v>
      </c>
      <c r="B3" s="1" t="s">
        <v>25</v>
      </c>
      <c r="C3" s="1" t="s">
        <v>3</v>
      </c>
      <c r="D3" s="1" t="s">
        <v>106</v>
      </c>
      <c r="E3" s="1" t="s">
        <v>10</v>
      </c>
      <c r="F3" s="1" t="s">
        <v>245</v>
      </c>
      <c r="G3" s="1" t="s">
        <v>288</v>
      </c>
      <c r="H3" s="1" t="s">
        <v>286</v>
      </c>
      <c r="I3" s="1" t="s">
        <v>287</v>
      </c>
      <c r="J3" s="1" t="s">
        <v>365</v>
      </c>
      <c r="K3" s="78" t="s">
        <v>290</v>
      </c>
      <c r="L3" s="9" t="s">
        <v>47</v>
      </c>
      <c r="M3" s="9" t="s">
        <v>46</v>
      </c>
      <c r="N3" s="1" t="s">
        <v>83</v>
      </c>
      <c r="O3" s="1" t="s">
        <v>82</v>
      </c>
      <c r="P3" s="1" t="s">
        <v>78</v>
      </c>
      <c r="Q3" s="1" t="s">
        <v>217</v>
      </c>
      <c r="R3" s="1" t="s">
        <v>115</v>
      </c>
      <c r="S3" s="1" t="s">
        <v>247</v>
      </c>
      <c r="T3" s="1" t="s">
        <v>249</v>
      </c>
      <c r="U3" s="1" t="s">
        <v>18</v>
      </c>
    </row>
    <row r="4" spans="1:21" ht="14.5" x14ac:dyDescent="0.35">
      <c r="F4" s="37"/>
      <c r="G4" s="89"/>
      <c r="H4" s="37"/>
      <c r="I4" s="37"/>
      <c r="K4" s="25" t="str">
        <f>IF(F4=""," ",(_xlfn.CONCAT(F4,VLOOKUP(F4,Dropdowns!$N$2:$R$19,2,1),G4,VLOOKUP(F4,Dropdowns!$N$2:$R$19,3,1),H4,VLOOKUP(F4,Dropdowns!$N$2:$R$19,4,1),I4,Dropdowns!R2,J4)))</f>
        <v xml:space="preserve"> </v>
      </c>
    </row>
    <row r="5" spans="1:21" x14ac:dyDescent="0.25">
      <c r="F5" s="37"/>
      <c r="G5" s="37"/>
      <c r="H5" s="37"/>
      <c r="I5" s="37"/>
      <c r="J5" s="37"/>
      <c r="K5" s="25" t="str">
        <f>IF(F5=""," ",(_xlfn.CONCAT(F5,VLOOKUP(F5,Dropdowns!$N$2:$R$19,2,1),G5,VLOOKUP(F5,Dropdowns!$N$2:$R$19,3,1),H5,VLOOKUP(F5,Dropdowns!$N$2:$R$19,4,1),I5,Dropdowns!R3,J5)))</f>
        <v xml:space="preserve"> </v>
      </c>
    </row>
    <row r="6" spans="1:21" x14ac:dyDescent="0.25">
      <c r="F6" s="37"/>
      <c r="G6" s="37"/>
      <c r="H6" s="37"/>
      <c r="I6" s="37"/>
      <c r="J6" s="37"/>
      <c r="K6" s="25" t="str">
        <f>IF(F6=""," ",(_xlfn.CONCAT(F6,VLOOKUP(F6,Dropdowns!$N$2:$R$19,2,1),G6,VLOOKUP(F6,Dropdowns!$N$2:$R$19,3,1),H6,VLOOKUP(F6,Dropdowns!$N$2:$R$19,4,1),I6,Dropdowns!R4,J6)))</f>
        <v xml:space="preserve"> </v>
      </c>
    </row>
    <row r="7" spans="1:21" x14ac:dyDescent="0.25">
      <c r="F7" s="37"/>
      <c r="G7" s="37"/>
      <c r="H7" s="37"/>
      <c r="I7" s="37"/>
      <c r="K7" s="25" t="str">
        <f>IF(F7=""," ",(_xlfn.CONCAT(F7,VLOOKUP(F7,Dropdowns!$N$2:$R$19,2,1),G7,VLOOKUP(F7,Dropdowns!$N$2:$R$19,3,1),H7,VLOOKUP(F7,Dropdowns!$N$2:$R$19,4,1),I7,Dropdowns!R5,J7)))</f>
        <v xml:space="preserve"> </v>
      </c>
    </row>
    <row r="8" spans="1:21" x14ac:dyDescent="0.25">
      <c r="F8" s="37"/>
      <c r="G8" s="37"/>
      <c r="H8" s="37"/>
      <c r="I8" s="37"/>
      <c r="J8" s="37"/>
      <c r="K8" s="25" t="str">
        <f>IF(F8=""," ",(_xlfn.CONCAT(F8,VLOOKUP(F8,Dropdowns!$N$2:$R$19,2,1),G8,VLOOKUP(F8,Dropdowns!$N$2:$R$19,3,1),H8,VLOOKUP(F8,Dropdowns!$N$2:$R$19,4,1),I8,Dropdowns!R6,J8)))</f>
        <v xml:space="preserve"> </v>
      </c>
    </row>
    <row r="9" spans="1:21" x14ac:dyDescent="0.25">
      <c r="F9" s="37"/>
      <c r="G9" s="37"/>
      <c r="H9" s="37"/>
      <c r="I9" s="37"/>
      <c r="K9" s="25" t="str">
        <f>IF(F9=""," ",(_xlfn.CONCAT(F9,VLOOKUP(F9,Dropdowns!$N$2:$R$19,2,1),G9,VLOOKUP(F9,Dropdowns!$N$2:$R$19,3,1),H9,VLOOKUP(F9,Dropdowns!$N$2:$R$19,4,1),I9,Dropdowns!R7,J9)))</f>
        <v xml:space="preserve"> </v>
      </c>
    </row>
    <row r="10" spans="1:21" x14ac:dyDescent="0.25">
      <c r="F10" s="37"/>
      <c r="G10" s="37"/>
      <c r="H10" s="37"/>
      <c r="I10" s="37"/>
      <c r="K10" s="25" t="str">
        <f>IF(F10=""," ",(_xlfn.CONCAT(F10,VLOOKUP(F10,Dropdowns!$N$2:$R$19,2,1),G10,VLOOKUP(F10,Dropdowns!$N$2:$R$19,3,1),H10,VLOOKUP(F10,Dropdowns!$N$2:$R$19,4,1),I10,Dropdowns!R8,J10)))</f>
        <v xml:space="preserve"> </v>
      </c>
      <c r="N10" s="10" t="s">
        <v>103</v>
      </c>
    </row>
    <row r="11" spans="1:21" x14ac:dyDescent="0.25">
      <c r="F11" s="37"/>
      <c r="G11" s="37"/>
      <c r="H11" s="37"/>
      <c r="I11" s="37"/>
      <c r="K11" s="25" t="str">
        <f>IF(F11=""," ",(_xlfn.CONCAT(F11,VLOOKUP(F11,Dropdowns!$N$2:$R$19,2,1),G11,VLOOKUP(F11,Dropdowns!$N$2:$R$19,3,1),H11,VLOOKUP(F11,Dropdowns!$N$2:$R$19,4,1),I11,Dropdowns!R9,J11)))</f>
        <v xml:space="preserve"> </v>
      </c>
    </row>
    <row r="12" spans="1:21" x14ac:dyDescent="0.25">
      <c r="F12" s="37"/>
      <c r="G12" s="37"/>
      <c r="H12" s="37"/>
      <c r="I12" s="37"/>
      <c r="K12" s="25" t="str">
        <f>IF(F12=""," ",(_xlfn.CONCAT(F12,VLOOKUP(F12,Dropdowns!$N$2:$R$19,2,1),G12,VLOOKUP(F12,Dropdowns!$N$2:$R$19,3,1),H12,VLOOKUP(F12,Dropdowns!$N$2:$R$19,4,1),I12,Dropdowns!R10,J12)))</f>
        <v xml:space="preserve"> </v>
      </c>
    </row>
    <row r="13" spans="1:21" x14ac:dyDescent="0.25">
      <c r="F13" s="37"/>
      <c r="G13" s="37"/>
      <c r="H13" s="37"/>
      <c r="I13" s="37"/>
      <c r="K13" s="25" t="str">
        <f>IF(F13=""," ",(_xlfn.CONCAT(F13,VLOOKUP(F13,Dropdowns!$N$2:$R$19,2,1),G13,VLOOKUP(F13,Dropdowns!$N$2:$R$19,3,1),H13,VLOOKUP(F13,Dropdowns!$N$2:$R$19,4,1),I13,Dropdowns!R11,J13)))</f>
        <v xml:space="preserve"> </v>
      </c>
    </row>
    <row r="14" spans="1:21" x14ac:dyDescent="0.25">
      <c r="F14" s="37"/>
      <c r="G14" s="37"/>
      <c r="H14" s="37"/>
      <c r="I14" s="37"/>
      <c r="K14" s="25" t="str">
        <f>IF(F14=""," ",(_xlfn.CONCAT(F14,VLOOKUP(F14,Dropdowns!$N$2:$R$19,2,1),G14,VLOOKUP(F14,Dropdowns!$N$2:$R$19,3,1),H14,VLOOKUP(F14,Dropdowns!$N$2:$R$19,4,1),I14,Dropdowns!R12,J14)))</f>
        <v xml:space="preserve"> </v>
      </c>
    </row>
    <row r="15" spans="1:21" x14ac:dyDescent="0.25">
      <c r="F15" s="37"/>
      <c r="G15" s="37"/>
      <c r="H15" s="37"/>
      <c r="I15" s="37"/>
      <c r="K15" s="25" t="str">
        <f>IF(F15=""," ",(_xlfn.CONCAT(F15,VLOOKUP(F15,Dropdowns!$N$2:$R$19,2,1),G15,VLOOKUP(F15,Dropdowns!$N$2:$R$19,3,1),H15,VLOOKUP(F15,Dropdowns!$N$2:$R$19,4,1),I15,Dropdowns!#REF!,J15)))</f>
        <v xml:space="preserve"> </v>
      </c>
    </row>
    <row r="16" spans="1:21" x14ac:dyDescent="0.25">
      <c r="F16" s="37"/>
      <c r="G16" s="37"/>
      <c r="H16" s="37"/>
      <c r="I16" s="37"/>
      <c r="K16" s="25" t="str">
        <f>IF(F16=""," ",(_xlfn.CONCAT(F16,VLOOKUP(F16,Dropdowns!$N$2:$R$19,2,1),G16,VLOOKUP(F16,Dropdowns!$N$2:$R$19,3,1),H16,VLOOKUP(F16,Dropdowns!$N$2:$R$19,4,1),I16,Dropdowns!R13,J16)))</f>
        <v xml:space="preserve"> </v>
      </c>
    </row>
    <row r="17" spans="6:11" x14ac:dyDescent="0.25">
      <c r="F17" s="37"/>
      <c r="G17" s="37"/>
      <c r="H17" s="37"/>
      <c r="I17" s="37"/>
      <c r="K17" s="25" t="str">
        <f>IF(F17=""," ",(_xlfn.CONCAT(F17,VLOOKUP(F17,Dropdowns!$N$2:$R$19,2,1),G17,VLOOKUP(F17,Dropdowns!$N$2:$R$19,3,1),H17,VLOOKUP(F17,Dropdowns!$N$2:$R$19,4,1),I17,Dropdowns!R14,J17)))</f>
        <v xml:space="preserve"> </v>
      </c>
    </row>
    <row r="18" spans="6:11" x14ac:dyDescent="0.25">
      <c r="F18" s="37"/>
      <c r="G18" s="37"/>
      <c r="H18" s="37"/>
      <c r="I18" s="37"/>
      <c r="K18" s="25" t="str">
        <f>IF(F18=""," ",(_xlfn.CONCAT(F18,VLOOKUP(F18,Dropdowns!$N$2:$R$19,2,1),G18,VLOOKUP(F18,Dropdowns!$N$2:$R$19,3,1),H18,VLOOKUP(F18,Dropdowns!$N$2:$R$19,4,1),I18,Dropdowns!R15,J18)))</f>
        <v xml:space="preserve"> </v>
      </c>
    </row>
    <row r="19" spans="6:11" x14ac:dyDescent="0.25">
      <c r="F19" s="37"/>
      <c r="G19" s="37"/>
      <c r="H19" s="37"/>
      <c r="I19" s="37"/>
      <c r="K19" s="25" t="str">
        <f>IF(F19=""," ",(_xlfn.CONCAT(F19,VLOOKUP(F19,Dropdowns!$N$2:$R$19,2,1),G19,VLOOKUP(F19,Dropdowns!$N$2:$R$19,3,1),H19,VLOOKUP(F19,Dropdowns!$N$2:$R$19,4,1),I19,Dropdowns!R16,J19)))</f>
        <v xml:space="preserve"> </v>
      </c>
    </row>
    <row r="20" spans="6:11" x14ac:dyDescent="0.25">
      <c r="F20" s="37"/>
      <c r="G20" s="37"/>
      <c r="H20" s="37"/>
      <c r="I20" s="37"/>
      <c r="K20" s="25" t="str">
        <f>IF(F20=""," ",(_xlfn.CONCAT(F20,VLOOKUP(F20,Dropdowns!$N$2:$R$19,2,1),G20,VLOOKUP(F20,Dropdowns!$N$2:$R$19,3,1),H20,VLOOKUP(F20,Dropdowns!$N$2:$R$19,4,1),I20,Dropdowns!R17,J20)))</f>
        <v xml:space="preserve"> </v>
      </c>
    </row>
    <row r="21" spans="6:11" x14ac:dyDescent="0.25">
      <c r="F21" s="37"/>
      <c r="G21" s="37"/>
      <c r="H21" s="37"/>
      <c r="I21" s="37"/>
      <c r="K21" s="25" t="str">
        <f>IF(F21=""," ",(_xlfn.CONCAT(F21,VLOOKUP(F21,Dropdowns!$N$2:$R$19,2,1),G21,VLOOKUP(F21,Dropdowns!$N$2:$R$19,3,1),H21,VLOOKUP(F21,Dropdowns!$N$2:$R$19,4,1),I21,Dropdowns!R18,J21)))</f>
        <v xml:space="preserve"> </v>
      </c>
    </row>
    <row r="22" spans="6:11" x14ac:dyDescent="0.25">
      <c r="F22" s="37"/>
      <c r="G22" s="37"/>
      <c r="H22" s="37"/>
      <c r="I22" s="37"/>
      <c r="K22" s="25" t="str">
        <f>IF(F22=""," ",(_xlfn.CONCAT(F22,VLOOKUP(F22,Dropdowns!$N$2:$R$19,2,1),G22,VLOOKUP(F22,Dropdowns!$N$2:$R$19,3,1),H22,VLOOKUP(F22,Dropdowns!$N$2:$R$19,4,1),I22,Dropdowns!R19,J22)))</f>
        <v xml:space="preserve"> </v>
      </c>
    </row>
    <row r="23" spans="6:11" x14ac:dyDescent="0.25">
      <c r="F23" s="37"/>
      <c r="G23" s="37"/>
      <c r="H23" s="37"/>
      <c r="I23" s="37"/>
      <c r="K23" s="25" t="str">
        <f>IF(F23=""," ",(_xlfn.CONCAT(F23,VLOOKUP(F23,Dropdowns!$N$2:$R$19,2,1),G23,VLOOKUP(F23,Dropdowns!$N$2:$R$19,3,1),H23,VLOOKUP(F23,Dropdowns!$N$2:$R$19,4,1),I23,Dropdowns!R20,J23)))</f>
        <v xml:space="preserve"> </v>
      </c>
    </row>
    <row r="24" spans="6:11" x14ac:dyDescent="0.25">
      <c r="F24" s="37"/>
      <c r="G24" s="37"/>
      <c r="H24" s="37"/>
      <c r="I24" s="37"/>
      <c r="K24" s="25" t="str">
        <f>IF(F24=""," ",(_xlfn.CONCAT(F24,VLOOKUP(F24,Dropdowns!$N$2:$R$19,2,1),G24,VLOOKUP(F24,Dropdowns!$N$2:$R$19,3,1),H24,VLOOKUP(F24,Dropdowns!$N$2:$R$19,4,1),I24,Dropdowns!R21,J24)))</f>
        <v xml:space="preserve"> </v>
      </c>
    </row>
    <row r="25" spans="6:11" x14ac:dyDescent="0.25">
      <c r="F25" s="37"/>
      <c r="G25" s="37"/>
      <c r="H25" s="37"/>
      <c r="I25" s="37"/>
      <c r="K25" s="25" t="str">
        <f>IF(F25=""," ",(_xlfn.CONCAT(F25,VLOOKUP(F25,Dropdowns!$N$2:$R$19,2,1),G25,VLOOKUP(F25,Dropdowns!$N$2:$R$19,3,1),H25,VLOOKUP(F25,Dropdowns!$N$2:$R$19,4,1),I25,Dropdowns!R22,J25)))</f>
        <v xml:space="preserve"> </v>
      </c>
    </row>
    <row r="26" spans="6:11" x14ac:dyDescent="0.25">
      <c r="F26" s="37"/>
      <c r="G26" s="37"/>
      <c r="H26" s="37"/>
      <c r="I26" s="37"/>
      <c r="K26" s="25" t="str">
        <f>IF(F26=""," ",(_xlfn.CONCAT(F26,VLOOKUP(F26,Dropdowns!$N$2:$R$19,2,1),G26,VLOOKUP(F26,Dropdowns!$N$2:$R$19,3,1),H26,VLOOKUP(F26,Dropdowns!$N$2:$R$19,4,1),I26,Dropdowns!R23,J26)))</f>
        <v xml:space="preserve"> </v>
      </c>
    </row>
    <row r="27" spans="6:11" x14ac:dyDescent="0.25">
      <c r="F27" s="37"/>
      <c r="G27" s="37"/>
      <c r="H27" s="37"/>
      <c r="I27" s="37"/>
      <c r="K27" s="25" t="str">
        <f>IF(F27=""," ",(_xlfn.CONCAT(F27,VLOOKUP(F27,Dropdowns!$N$2:$R$19,2,1),G27,VLOOKUP(F27,Dropdowns!$N$2:$R$19,3,1),H27,VLOOKUP(F27,Dropdowns!$N$2:$R$19,4,1),I27,Dropdowns!R24,J27)))</f>
        <v xml:space="preserve"> </v>
      </c>
    </row>
    <row r="28" spans="6:11" x14ac:dyDescent="0.25">
      <c r="F28" s="37"/>
      <c r="G28" s="37"/>
      <c r="H28" s="37"/>
      <c r="I28" s="37"/>
      <c r="K28" s="25" t="str">
        <f>IF(F28=""," ",(_xlfn.CONCAT(F28,VLOOKUP(F28,Dropdowns!$N$2:$R$19,2,1),G28,VLOOKUP(F28,Dropdowns!$N$2:$R$19,3,1),H28,VLOOKUP(F28,Dropdowns!$N$2:$R$19,4,1),I28,Dropdowns!R25,J28)))</f>
        <v xml:space="preserve"> </v>
      </c>
    </row>
    <row r="29" spans="6:11" x14ac:dyDescent="0.25">
      <c r="F29" s="37"/>
      <c r="G29" s="37"/>
      <c r="H29" s="37"/>
      <c r="I29" s="37"/>
      <c r="K29" s="25" t="str">
        <f>IF(F29=""," ",(_xlfn.CONCAT(F29,VLOOKUP(F29,Dropdowns!$N$2:$R$19,2,1),G29,VLOOKUP(F29,Dropdowns!$N$2:$R$19,3,1),H29,VLOOKUP(F29,Dropdowns!$N$2:$R$19,4,1),I29,Dropdowns!R26,J29)))</f>
        <v xml:space="preserve"> </v>
      </c>
    </row>
    <row r="30" spans="6:11" x14ac:dyDescent="0.25">
      <c r="F30" s="37"/>
      <c r="G30" s="37"/>
      <c r="H30" s="37"/>
      <c r="I30" s="37"/>
      <c r="K30" s="25" t="str">
        <f>IF(F30=""," ",(_xlfn.CONCAT(F30,VLOOKUP(F30,Dropdowns!$N$2:$R$19,2,1),G30,VLOOKUP(F30,Dropdowns!$N$2:$R$19,3,1),H30,VLOOKUP(F30,Dropdowns!$N$2:$R$19,4,1),I30,Dropdowns!R27,J30)))</f>
        <v xml:space="preserve"> </v>
      </c>
    </row>
    <row r="31" spans="6:11" x14ac:dyDescent="0.25">
      <c r="F31" s="37"/>
      <c r="G31" s="37"/>
      <c r="H31" s="37"/>
      <c r="I31" s="37"/>
      <c r="K31" s="25" t="str">
        <f>IF(F31=""," ",(_xlfn.CONCAT(F31,VLOOKUP(F31,Dropdowns!$N$2:$R$19,2,1),G31,VLOOKUP(F31,Dropdowns!$N$2:$R$19,3,1),H31,VLOOKUP(F31,Dropdowns!$N$2:$R$19,4,1),I31,Dropdowns!R28,J31)))</f>
        <v xml:space="preserve"> </v>
      </c>
    </row>
    <row r="32" spans="6:11" x14ac:dyDescent="0.25">
      <c r="F32" s="37"/>
      <c r="G32" s="37"/>
      <c r="H32" s="37"/>
      <c r="I32" s="37"/>
      <c r="K32" s="25" t="str">
        <f>IF(F32=""," ",(_xlfn.CONCAT(F32,VLOOKUP(F32,Dropdowns!$N$2:$R$19,2,1),G32,VLOOKUP(F32,Dropdowns!$N$2:$R$19,3,1),H32,VLOOKUP(F32,Dropdowns!$N$2:$R$19,4,1),I32,Dropdowns!R29,J32)))</f>
        <v xml:space="preserve"> </v>
      </c>
    </row>
    <row r="33" spans="6:11" x14ac:dyDescent="0.25">
      <c r="F33" s="37"/>
      <c r="G33" s="37"/>
      <c r="H33" s="37"/>
      <c r="I33" s="37"/>
      <c r="K33" s="25" t="str">
        <f>IF(F33=""," ",(_xlfn.CONCAT(F33,VLOOKUP(F33,Dropdowns!$N$2:$R$19,2,1),G33,VLOOKUP(F33,Dropdowns!$N$2:$R$19,3,1),H33,VLOOKUP(F33,Dropdowns!$N$2:$R$19,4,1),I33,Dropdowns!R30,J33)))</f>
        <v xml:space="preserve"> </v>
      </c>
    </row>
    <row r="34" spans="6:11" x14ac:dyDescent="0.25">
      <c r="F34" s="37"/>
      <c r="G34" s="37"/>
      <c r="H34" s="37"/>
      <c r="I34" s="37"/>
      <c r="K34" s="25" t="str">
        <f>IF(F34=""," ",(_xlfn.CONCAT(F34,VLOOKUP(F34,Dropdowns!$N$2:$R$19,2,1),G34,VLOOKUP(F34,Dropdowns!$N$2:$R$19,3,1),H34,VLOOKUP(F34,Dropdowns!$N$2:$R$19,4,1),I34,Dropdowns!R31,J34)))</f>
        <v xml:space="preserve"> </v>
      </c>
    </row>
    <row r="35" spans="6:11" x14ac:dyDescent="0.25">
      <c r="F35" s="37"/>
      <c r="G35" s="37"/>
      <c r="H35" s="37"/>
      <c r="I35" s="37"/>
      <c r="K35" s="25" t="str">
        <f>IF(F35=""," ",(_xlfn.CONCAT(F35,VLOOKUP(F35,Dropdowns!$N$2:$R$19,2,1),G35,VLOOKUP(F35,Dropdowns!$N$2:$R$19,3,1),H35,VLOOKUP(F35,Dropdowns!$N$2:$R$19,4,1),I35,Dropdowns!R32,J35)))</f>
        <v xml:space="preserve"> </v>
      </c>
    </row>
    <row r="36" spans="6:11" x14ac:dyDescent="0.25">
      <c r="F36" s="37"/>
      <c r="G36" s="37"/>
      <c r="H36" s="37"/>
      <c r="I36" s="37"/>
      <c r="K36" s="25" t="str">
        <f>IF(F36=""," ",(_xlfn.CONCAT(F36,VLOOKUP(F36,Dropdowns!$N$2:$R$19,2,1),G36,VLOOKUP(F36,Dropdowns!$N$2:$R$19,3,1),H36,VLOOKUP(F36,Dropdowns!$N$2:$R$19,4,1),I36,Dropdowns!R33,J36)))</f>
        <v xml:space="preserve"> </v>
      </c>
    </row>
    <row r="37" spans="6:11" x14ac:dyDescent="0.25">
      <c r="F37" s="37"/>
      <c r="G37" s="37"/>
      <c r="H37" s="37"/>
      <c r="I37" s="37"/>
      <c r="K37" s="25" t="str">
        <f>IF(F37=""," ",(_xlfn.CONCAT(F37,VLOOKUP(F37,Dropdowns!$N$2:$R$19,2,1),G37,VLOOKUP(F37,Dropdowns!$N$2:$R$19,3,1),H37,VLOOKUP(F37,Dropdowns!$N$2:$R$19,4,1),I37,Dropdowns!R34,J37)))</f>
        <v xml:space="preserve"> </v>
      </c>
    </row>
    <row r="38" spans="6:11" x14ac:dyDescent="0.25">
      <c r="F38" s="37"/>
      <c r="G38" s="37"/>
      <c r="H38" s="37"/>
      <c r="I38" s="37"/>
      <c r="K38" s="25" t="str">
        <f>IF(F38=""," ",(_xlfn.CONCAT(F38,VLOOKUP(F38,Dropdowns!$N$2:$R$19,2,1),G38,VLOOKUP(F38,Dropdowns!$N$2:$R$19,3,1),H38,VLOOKUP(F38,Dropdowns!$N$2:$R$19,4,1),I38,Dropdowns!R35,J38)))</f>
        <v xml:space="preserve"> </v>
      </c>
    </row>
    <row r="39" spans="6:11" x14ac:dyDescent="0.25">
      <c r="F39" s="37"/>
      <c r="G39" s="37"/>
      <c r="H39" s="37"/>
      <c r="I39" s="37"/>
      <c r="K39" s="25" t="str">
        <f>IF(F39=""," ",(_xlfn.CONCAT(F39,VLOOKUP(F39,Dropdowns!$N$2:$R$19,2,1),G39,VLOOKUP(F39,Dropdowns!$N$2:$R$19,3,1),H39,VLOOKUP(F39,Dropdowns!$N$2:$R$19,4,1),I39,Dropdowns!R36,J39)))</f>
        <v xml:space="preserve"> </v>
      </c>
    </row>
    <row r="40" spans="6:11" x14ac:dyDescent="0.25">
      <c r="F40" s="37"/>
      <c r="G40" s="37"/>
      <c r="H40" s="37"/>
      <c r="I40" s="37"/>
      <c r="K40" s="25" t="str">
        <f>IF(F40=""," ",(_xlfn.CONCAT(F40,VLOOKUP(F40,Dropdowns!$N$2:$R$19,2,1),G40,VLOOKUP(F40,Dropdowns!$N$2:$R$19,3,1),H40,VLOOKUP(F40,Dropdowns!$N$2:$R$19,4,1),I40,Dropdowns!R37,J40)))</f>
        <v xml:space="preserve"> </v>
      </c>
    </row>
    <row r="41" spans="6:11" x14ac:dyDescent="0.25">
      <c r="F41" s="37"/>
      <c r="G41" s="37"/>
      <c r="H41" s="37"/>
      <c r="I41" s="37"/>
      <c r="K41" s="25" t="str">
        <f>IF(F41=""," ",(_xlfn.CONCAT(F41,VLOOKUP(F41,Dropdowns!$N$2:$R$19,2,1),G41,VLOOKUP(F41,Dropdowns!$N$2:$R$19,3,1),H41,VLOOKUP(F41,Dropdowns!$N$2:$R$19,4,1),I41,Dropdowns!R38,J41)))</f>
        <v xml:space="preserve"> </v>
      </c>
    </row>
    <row r="42" spans="6:11" x14ac:dyDescent="0.25">
      <c r="F42" s="37"/>
      <c r="G42" s="37"/>
      <c r="H42" s="37"/>
      <c r="I42" s="37"/>
      <c r="K42" s="25" t="str">
        <f>IF(F42=""," ",(_xlfn.CONCAT(F42,VLOOKUP(F42,Dropdowns!$N$2:$R$19,2,1),G42,VLOOKUP(F42,Dropdowns!$N$2:$R$19,3,1),H42,VLOOKUP(F42,Dropdowns!$N$2:$R$19,4,1),I42,Dropdowns!R39,J42)))</f>
        <v xml:space="preserve"> </v>
      </c>
    </row>
    <row r="43" spans="6:11" x14ac:dyDescent="0.25">
      <c r="F43" s="37"/>
      <c r="G43" s="37"/>
      <c r="H43" s="37"/>
      <c r="I43" s="37"/>
      <c r="K43" s="25" t="str">
        <f>IF(F43=""," ",(_xlfn.CONCAT(F43,VLOOKUP(F43,Dropdowns!$N$2:$R$19,2,1),G43,VLOOKUP(F43,Dropdowns!$N$2:$R$19,3,1),H43,VLOOKUP(F43,Dropdowns!$N$2:$R$19,4,1),I43,Dropdowns!R40,J43)))</f>
        <v xml:space="preserve"> </v>
      </c>
    </row>
    <row r="44" spans="6:11" x14ac:dyDescent="0.25">
      <c r="F44" s="37"/>
      <c r="G44" s="37"/>
      <c r="H44" s="37"/>
      <c r="I44" s="37"/>
      <c r="K44" s="25" t="str">
        <f>IF(F44=""," ",(_xlfn.CONCAT(F44,VLOOKUP(F44,Dropdowns!$N$2:$R$19,2,1),G44,VLOOKUP(F44,Dropdowns!$N$2:$R$19,3,1),H44,VLOOKUP(F44,Dropdowns!$N$2:$R$19,4,1),I44,Dropdowns!R41,J44)))</f>
        <v xml:space="preserve"> </v>
      </c>
    </row>
    <row r="45" spans="6:11" x14ac:dyDescent="0.25">
      <c r="F45" s="37"/>
      <c r="G45" s="37"/>
      <c r="H45" s="37"/>
      <c r="I45" s="37"/>
      <c r="K45" s="25" t="str">
        <f>IF(F45=""," ",(_xlfn.CONCAT(F45,VLOOKUP(F45,Dropdowns!$N$2:$R$19,2,1),G45,VLOOKUP(F45,Dropdowns!$N$2:$R$19,3,1),H45,VLOOKUP(F45,Dropdowns!$N$2:$R$19,4,1),I45,Dropdowns!R42,J45)))</f>
        <v xml:space="preserve"> </v>
      </c>
    </row>
    <row r="46" spans="6:11" x14ac:dyDescent="0.25">
      <c r="F46" s="37"/>
      <c r="G46" s="37"/>
      <c r="H46" s="37"/>
      <c r="I46" s="37"/>
      <c r="K46" s="25" t="str">
        <f>IF(F46=""," ",(_xlfn.CONCAT(F46,VLOOKUP(F46,Dropdowns!$N$2:$R$19,2,1),G46,VLOOKUP(F46,Dropdowns!$N$2:$R$19,3,1),H46,VLOOKUP(F46,Dropdowns!$N$2:$R$19,4,1),I46,Dropdowns!R43,J46)))</f>
        <v xml:space="preserve"> </v>
      </c>
    </row>
    <row r="47" spans="6:11" x14ac:dyDescent="0.25">
      <c r="F47" s="37"/>
      <c r="G47" s="37"/>
      <c r="H47" s="37"/>
      <c r="I47" s="37"/>
      <c r="K47" s="25" t="str">
        <f>IF(F47=""," ",(_xlfn.CONCAT(F47,VLOOKUP(F47,Dropdowns!$N$2:$R$19,2,1),G47,VLOOKUP(F47,Dropdowns!$N$2:$R$19,3,1),H47,VLOOKUP(F47,Dropdowns!$N$2:$R$19,4,1),I47,Dropdowns!R44,J47)))</f>
        <v xml:space="preserve"> </v>
      </c>
    </row>
    <row r="48" spans="6:11" x14ac:dyDescent="0.25">
      <c r="F48" s="37"/>
      <c r="G48" s="37"/>
      <c r="H48" s="37"/>
      <c r="I48" s="37"/>
      <c r="K48" s="25" t="str">
        <f>IF(F48=""," ",(_xlfn.CONCAT(F48,VLOOKUP(F48,Dropdowns!$N$2:$R$19,2,1),G48,VLOOKUP(F48,Dropdowns!$N$2:$R$19,3,1),H48,VLOOKUP(F48,Dropdowns!$N$2:$R$19,4,1),I48,Dropdowns!R45,J48)))</f>
        <v xml:space="preserve"> </v>
      </c>
    </row>
    <row r="49" spans="6:11" x14ac:dyDescent="0.25">
      <c r="F49" s="37"/>
      <c r="G49" s="37"/>
      <c r="H49" s="37"/>
      <c r="I49" s="37"/>
      <c r="K49" s="25" t="str">
        <f>IF(F49=""," ",(_xlfn.CONCAT(F49,VLOOKUP(F49,Dropdowns!$N$2:$R$19,2,1),G49,VLOOKUP(F49,Dropdowns!$N$2:$R$19,3,1),H49,VLOOKUP(F49,Dropdowns!$N$2:$R$19,4,1),I49,Dropdowns!R46,J49)))</f>
        <v xml:space="preserve"> </v>
      </c>
    </row>
    <row r="50" spans="6:11" x14ac:dyDescent="0.25">
      <c r="F50" s="37"/>
      <c r="G50" s="37"/>
      <c r="H50" s="37"/>
      <c r="I50" s="37"/>
      <c r="K50" s="25" t="str">
        <f>IF(F50=""," ",(_xlfn.CONCAT(F50,VLOOKUP(F50,Dropdowns!$N$2:$R$19,2,1),G50,VLOOKUP(F50,Dropdowns!$N$2:$R$19,3,1),H50,VLOOKUP(F50,Dropdowns!$N$2:$R$19,4,1),I50,Dropdowns!R47,J50)))</f>
        <v xml:space="preserve"> </v>
      </c>
    </row>
    <row r="51" spans="6:11" x14ac:dyDescent="0.25">
      <c r="F51" s="37"/>
      <c r="G51" s="37"/>
      <c r="H51" s="37"/>
      <c r="I51" s="37"/>
      <c r="K51" s="25" t="str">
        <f>IF(F51=""," ",(_xlfn.CONCAT(F51,VLOOKUP(F51,Dropdowns!$N$2:$R$19,2,1),G51,VLOOKUP(F51,Dropdowns!$N$2:$R$19,3,1),H51,VLOOKUP(F51,Dropdowns!$N$2:$R$19,4,1),I51,Dropdowns!R48,J51)))</f>
        <v xml:space="preserve"> </v>
      </c>
    </row>
    <row r="52" spans="6:11" x14ac:dyDescent="0.25">
      <c r="F52" s="37"/>
      <c r="G52" s="37"/>
      <c r="H52" s="37"/>
      <c r="I52" s="37"/>
      <c r="K52" s="25" t="str">
        <f>IF(F52=""," ",(_xlfn.CONCAT(F52,VLOOKUP(F52,Dropdowns!$N$2:$R$19,2,1),G52,VLOOKUP(F52,Dropdowns!$N$2:$R$19,3,1),H52,VLOOKUP(F52,Dropdowns!$N$2:$R$19,4,1),I52,Dropdowns!R49,J52)))</f>
        <v xml:space="preserve"> </v>
      </c>
    </row>
    <row r="53" spans="6:11" x14ac:dyDescent="0.25">
      <c r="F53" s="37"/>
      <c r="G53" s="37"/>
      <c r="H53" s="37"/>
      <c r="I53" s="37"/>
      <c r="K53" s="25" t="str">
        <f>IF(F53=""," ",(_xlfn.CONCAT(F53,VLOOKUP(F53,Dropdowns!$N$2:$R$19,2,1),G53,VLOOKUP(F53,Dropdowns!$N$2:$R$19,3,1),H53,VLOOKUP(F53,Dropdowns!$N$2:$R$19,4,1),I53,Dropdowns!R50,J53)))</f>
        <v xml:space="preserve"> </v>
      </c>
    </row>
    <row r="54" spans="6:11" x14ac:dyDescent="0.25">
      <c r="F54" s="37"/>
      <c r="G54" s="37"/>
      <c r="H54" s="37"/>
      <c r="I54" s="37"/>
      <c r="K54" s="25" t="str">
        <f>IF(F54=""," ",(_xlfn.CONCAT(F54,VLOOKUP(F54,Dropdowns!$N$2:$R$19,2,1),G54,VLOOKUP(F54,Dropdowns!$N$2:$R$19,3,1),H54,VLOOKUP(F54,Dropdowns!$N$2:$R$19,4,1),I54,Dropdowns!R51,J54)))</f>
        <v xml:space="preserve"> </v>
      </c>
    </row>
    <row r="55" spans="6:11" x14ac:dyDescent="0.25">
      <c r="F55" s="37"/>
      <c r="G55" s="37"/>
      <c r="H55" s="37"/>
      <c r="I55" s="37"/>
      <c r="K55" s="25" t="str">
        <f>IF(F55=""," ",(_xlfn.CONCAT(F55,VLOOKUP(F55,Dropdowns!$N$2:$R$19,2,1),G55,VLOOKUP(F55,Dropdowns!$N$2:$R$19,3,1),H55,VLOOKUP(F55,Dropdowns!$N$2:$R$19,4,1),I55,Dropdowns!R52,J55)))</f>
        <v xml:space="preserve"> </v>
      </c>
    </row>
    <row r="56" spans="6:11" x14ac:dyDescent="0.25">
      <c r="F56" s="37"/>
      <c r="G56" s="37"/>
      <c r="H56" s="37"/>
      <c r="I56" s="37"/>
      <c r="K56" s="25" t="str">
        <f>IF(F56=""," ",(_xlfn.CONCAT(F56,VLOOKUP(F56,Dropdowns!$N$2:$R$19,2,1),G56,VLOOKUP(F56,Dropdowns!$N$2:$R$19,3,1),H56,VLOOKUP(F56,Dropdowns!$N$2:$R$19,4,1),I56,Dropdowns!R53,J56)))</f>
        <v xml:space="preserve"> </v>
      </c>
    </row>
    <row r="57" spans="6:11" x14ac:dyDescent="0.25">
      <c r="F57" s="37"/>
      <c r="G57" s="37"/>
      <c r="H57" s="37"/>
      <c r="I57" s="37"/>
      <c r="K57" s="25" t="str">
        <f>IF(F57=""," ",(_xlfn.CONCAT(F57,VLOOKUP(F57,Dropdowns!$N$2:$R$19,2,1),G57,VLOOKUP(F57,Dropdowns!$N$2:$R$19,3,1),H57,VLOOKUP(F57,Dropdowns!$N$2:$R$19,4,1),I57,Dropdowns!R54,J57)))</f>
        <v xml:space="preserve"> </v>
      </c>
    </row>
    <row r="58" spans="6:11" x14ac:dyDescent="0.25">
      <c r="F58" s="37"/>
      <c r="G58" s="37"/>
      <c r="H58" s="37"/>
      <c r="I58" s="37"/>
      <c r="K58" s="25" t="str">
        <f>IF(F58=""," ",(_xlfn.CONCAT(F58,VLOOKUP(F58,Dropdowns!$N$2:$R$19,2,1),G58,VLOOKUP(F58,Dropdowns!$N$2:$R$19,3,1),H58,VLOOKUP(F58,Dropdowns!$N$2:$R$19,4,1),I58,Dropdowns!R55,J58)))</f>
        <v xml:space="preserve"> </v>
      </c>
    </row>
    <row r="59" spans="6:11" x14ac:dyDescent="0.25">
      <c r="F59" s="37"/>
      <c r="G59" s="37"/>
      <c r="H59" s="37"/>
      <c r="I59" s="37"/>
      <c r="K59" s="25" t="str">
        <f>IF(F59=""," ",(_xlfn.CONCAT(F59,VLOOKUP(F59,Dropdowns!$N$2:$R$19,2,1),G59,VLOOKUP(F59,Dropdowns!$N$2:$R$19,3,1),H59,VLOOKUP(F59,Dropdowns!$N$2:$R$19,4,1),I59,Dropdowns!R56,J59)))</f>
        <v xml:space="preserve"> </v>
      </c>
    </row>
    <row r="60" spans="6:11" x14ac:dyDescent="0.25">
      <c r="F60" s="37"/>
      <c r="G60" s="37"/>
      <c r="H60" s="37"/>
      <c r="I60" s="37"/>
      <c r="K60" s="25" t="str">
        <f>IF(F60=""," ",(_xlfn.CONCAT(F60,VLOOKUP(F60,Dropdowns!$N$2:$R$19,2,1),G60,VLOOKUP(F60,Dropdowns!$N$2:$R$19,3,1),H60,VLOOKUP(F60,Dropdowns!$N$2:$R$19,4,1),I60,Dropdowns!R57,J60)))</f>
        <v xml:space="preserve"> </v>
      </c>
    </row>
    <row r="61" spans="6:11" x14ac:dyDescent="0.25">
      <c r="F61" s="37"/>
      <c r="G61" s="37"/>
      <c r="H61" s="37"/>
      <c r="I61" s="37"/>
      <c r="K61" s="25" t="str">
        <f>IF(F61=""," ",(_xlfn.CONCAT(F61,VLOOKUP(F61,Dropdowns!$N$2:$R$19,2,1),G61,VLOOKUP(F61,Dropdowns!$N$2:$R$19,3,1),H61,VLOOKUP(F61,Dropdowns!$N$2:$R$19,4,1),I61,Dropdowns!R58,J61)))</f>
        <v xml:space="preserve"> </v>
      </c>
    </row>
    <row r="62" spans="6:11" x14ac:dyDescent="0.25">
      <c r="F62" s="37"/>
      <c r="G62" s="37"/>
      <c r="H62" s="37"/>
      <c r="I62" s="37"/>
      <c r="K62" s="25" t="str">
        <f>IF(F62=""," ",(_xlfn.CONCAT(F62,VLOOKUP(F62,Dropdowns!$N$2:$R$19,2,1),G62,VLOOKUP(F62,Dropdowns!$N$2:$R$19,3,1),H62,VLOOKUP(F62,Dropdowns!$N$2:$R$19,4,1),I62,Dropdowns!R59,J62)))</f>
        <v xml:space="preserve"> </v>
      </c>
    </row>
    <row r="63" spans="6:11" x14ac:dyDescent="0.25">
      <c r="F63" s="37"/>
      <c r="G63" s="37"/>
      <c r="H63" s="37"/>
      <c r="I63" s="37"/>
      <c r="K63" s="25" t="str">
        <f>IF(F63=""," ",(_xlfn.CONCAT(F63,VLOOKUP(F63,Dropdowns!$N$2:$R$19,2,1),G63,VLOOKUP(F63,Dropdowns!$N$2:$R$19,3,1),H63,VLOOKUP(F63,Dropdowns!$N$2:$R$19,4,1),I63,Dropdowns!R60,J63)))</f>
        <v xml:space="preserve"> </v>
      </c>
    </row>
    <row r="64" spans="6:11" x14ac:dyDescent="0.25">
      <c r="F64" s="37"/>
      <c r="G64" s="37"/>
      <c r="H64" s="37"/>
      <c r="I64" s="37"/>
      <c r="K64" s="25" t="str">
        <f>IF(F64=""," ",(_xlfn.CONCAT(F64,VLOOKUP(F64,Dropdowns!$N$2:$R$19,2,1),G64,VLOOKUP(F64,Dropdowns!$N$2:$R$19,3,1),H64,VLOOKUP(F64,Dropdowns!$N$2:$R$19,4,1),I64,Dropdowns!R61,J64)))</f>
        <v xml:space="preserve"> </v>
      </c>
    </row>
    <row r="65" spans="6:11" x14ac:dyDescent="0.25">
      <c r="F65" s="37"/>
      <c r="G65" s="37"/>
      <c r="H65" s="37"/>
      <c r="I65" s="37"/>
      <c r="K65" s="25" t="str">
        <f>IF(F65=""," ",(_xlfn.CONCAT(F65,VLOOKUP(F65,Dropdowns!$N$2:$R$19,2,1),G65,VLOOKUP(F65,Dropdowns!$N$2:$R$19,3,1),H65,VLOOKUP(F65,Dropdowns!$N$2:$R$19,4,1),I65,Dropdowns!R62,J65)))</f>
        <v xml:space="preserve"> </v>
      </c>
    </row>
    <row r="66" spans="6:11" x14ac:dyDescent="0.25">
      <c r="F66" s="37"/>
      <c r="G66" s="37"/>
      <c r="H66" s="37"/>
      <c r="I66" s="37"/>
      <c r="K66" s="25" t="str">
        <f>IF(F66=""," ",(_xlfn.CONCAT(F66,VLOOKUP(F66,Dropdowns!$N$2:$R$19,2,1),G66,VLOOKUP(F66,Dropdowns!$N$2:$R$19,3,1),H66,VLOOKUP(F66,Dropdowns!$N$2:$R$19,4,1),I66,Dropdowns!R63,J66)))</f>
        <v xml:space="preserve"> </v>
      </c>
    </row>
    <row r="67" spans="6:11" x14ac:dyDescent="0.25">
      <c r="F67" s="37"/>
      <c r="G67" s="37"/>
      <c r="H67" s="37"/>
      <c r="I67" s="37"/>
      <c r="K67" s="25" t="str">
        <f>IF(F67=""," ",(_xlfn.CONCAT(F67,VLOOKUP(F67,Dropdowns!$N$2:$R$19,2,1),G67,VLOOKUP(F67,Dropdowns!$N$2:$R$19,3,1),H67,VLOOKUP(F67,Dropdowns!$N$2:$R$19,4,1),I67,Dropdowns!R64,J67)))</f>
        <v xml:space="preserve"> </v>
      </c>
    </row>
    <row r="68" spans="6:11" x14ac:dyDescent="0.25">
      <c r="F68" s="37"/>
      <c r="G68" s="37"/>
      <c r="H68" s="37"/>
      <c r="I68" s="37"/>
      <c r="K68" s="25" t="str">
        <f>IF(F68=""," ",(_xlfn.CONCAT(F68,VLOOKUP(F68,Dropdowns!$N$2:$R$19,2,1),G68,VLOOKUP(F68,Dropdowns!$N$2:$R$19,3,1),H68,VLOOKUP(F68,Dropdowns!$N$2:$R$19,4,1),I68,Dropdowns!R65,J68)))</f>
        <v xml:space="preserve"> </v>
      </c>
    </row>
    <row r="69" spans="6:11" x14ac:dyDescent="0.25">
      <c r="F69" s="37"/>
      <c r="G69" s="37"/>
      <c r="H69" s="37"/>
      <c r="I69" s="37"/>
      <c r="K69" s="25" t="str">
        <f>IF(F69=""," ",(_xlfn.CONCAT(F69,VLOOKUP(F69,Dropdowns!$N$2:$R$19,2,1),G69,VLOOKUP(F69,Dropdowns!$N$2:$R$19,3,1),H69,VLOOKUP(F69,Dropdowns!$N$2:$R$19,4,1),I69,Dropdowns!R66,J69)))</f>
        <v xml:space="preserve"> </v>
      </c>
    </row>
    <row r="70" spans="6:11" x14ac:dyDescent="0.25">
      <c r="F70" s="37"/>
      <c r="G70" s="37"/>
      <c r="H70" s="37"/>
      <c r="I70" s="37"/>
      <c r="K70" s="25" t="str">
        <f>IF(F70=""," ",(_xlfn.CONCAT(F70,VLOOKUP(F70,Dropdowns!$N$2:$R$19,2,1),G70,VLOOKUP(F70,Dropdowns!$N$2:$R$19,3,1),H70,VLOOKUP(F70,Dropdowns!$N$2:$R$19,4,1),I70,Dropdowns!R67,J70)))</f>
        <v xml:space="preserve"> </v>
      </c>
    </row>
    <row r="71" spans="6:11" x14ac:dyDescent="0.25">
      <c r="F71" s="37"/>
      <c r="G71" s="37"/>
      <c r="H71" s="37"/>
      <c r="I71" s="37"/>
      <c r="K71" s="25" t="str">
        <f>IF(F71=""," ",(_xlfn.CONCAT(F71,VLOOKUP(F71,Dropdowns!$N$2:$R$19,2,1),G71,VLOOKUP(F71,Dropdowns!$N$2:$R$19,3,1),H71,VLOOKUP(F71,Dropdowns!$N$2:$R$19,4,1),I71,Dropdowns!R68,J71)))</f>
        <v xml:space="preserve"> </v>
      </c>
    </row>
    <row r="72" spans="6:11" x14ac:dyDescent="0.25">
      <c r="F72" s="37"/>
      <c r="G72" s="37"/>
      <c r="H72" s="37"/>
      <c r="I72" s="37"/>
      <c r="K72" s="25" t="str">
        <f>IF(F72=""," ",(_xlfn.CONCAT(F72,VLOOKUP(F72,Dropdowns!$N$2:$R$19,2,1),G72,VLOOKUP(F72,Dropdowns!$N$2:$R$19,3,1),H72,VLOOKUP(F72,Dropdowns!$N$2:$R$19,4,1),I72,Dropdowns!R69,J72)))</f>
        <v xml:space="preserve"> </v>
      </c>
    </row>
    <row r="73" spans="6:11" x14ac:dyDescent="0.25">
      <c r="F73" s="37"/>
      <c r="G73" s="37"/>
      <c r="H73" s="37"/>
      <c r="I73" s="37"/>
      <c r="K73" s="25" t="str">
        <f>IF(F73=""," ",(_xlfn.CONCAT(F73,VLOOKUP(F73,Dropdowns!$N$2:$R$19,2,1),G73,VLOOKUP(F73,Dropdowns!$N$2:$R$19,3,1),H73,VLOOKUP(F73,Dropdowns!$N$2:$R$19,4,1),I73,Dropdowns!R70,J73)))</f>
        <v xml:space="preserve"> </v>
      </c>
    </row>
    <row r="74" spans="6:11" x14ac:dyDescent="0.25">
      <c r="F74" s="37"/>
      <c r="G74" s="37"/>
      <c r="H74" s="37"/>
      <c r="I74" s="37"/>
      <c r="K74" s="25" t="str">
        <f>IF(F74=""," ",(_xlfn.CONCAT(F74,VLOOKUP(F74,Dropdowns!$N$2:$R$19,2,1),G74,VLOOKUP(F74,Dropdowns!$N$2:$R$19,3,1),H74,VLOOKUP(F74,Dropdowns!$N$2:$R$19,4,1),I74,Dropdowns!R71,J74)))</f>
        <v xml:space="preserve"> </v>
      </c>
    </row>
    <row r="75" spans="6:11" x14ac:dyDescent="0.25">
      <c r="F75" s="37"/>
      <c r="G75" s="37"/>
      <c r="H75" s="37"/>
      <c r="I75" s="37"/>
      <c r="K75" s="25" t="str">
        <f>IF(F75=""," ",(_xlfn.CONCAT(F75,VLOOKUP(F75,Dropdowns!$N$2:$R$19,2,1),G75,VLOOKUP(F75,Dropdowns!$N$2:$R$19,3,1),H75,VLOOKUP(F75,Dropdowns!$N$2:$R$19,4,1),I75,Dropdowns!R72,J75)))</f>
        <v xml:space="preserve"> </v>
      </c>
    </row>
    <row r="76" spans="6:11" x14ac:dyDescent="0.25">
      <c r="F76" s="37"/>
      <c r="G76" s="37"/>
      <c r="H76" s="37"/>
      <c r="I76" s="37"/>
      <c r="K76" s="25" t="str">
        <f>IF(F76=""," ",(_xlfn.CONCAT(F76,VLOOKUP(F76,Dropdowns!$N$2:$R$19,2,1),G76,VLOOKUP(F76,Dropdowns!$N$2:$R$19,3,1),H76,VLOOKUP(F76,Dropdowns!$N$2:$R$19,4,1),I76,Dropdowns!R73,J76)))</f>
        <v xml:space="preserve"> </v>
      </c>
    </row>
    <row r="77" spans="6:11" x14ac:dyDescent="0.25">
      <c r="F77" s="37"/>
      <c r="G77" s="37"/>
      <c r="H77" s="37"/>
      <c r="I77" s="37"/>
      <c r="K77" s="25" t="str">
        <f>IF(F77=""," ",(_xlfn.CONCAT(F77,VLOOKUP(F77,Dropdowns!$N$2:$R$19,2,1),G77,VLOOKUP(F77,Dropdowns!$N$2:$R$19,3,1),H77,VLOOKUP(F77,Dropdowns!$N$2:$R$19,4,1),I77,Dropdowns!R74,J77)))</f>
        <v xml:space="preserve"> </v>
      </c>
    </row>
    <row r="78" spans="6:11" x14ac:dyDescent="0.25">
      <c r="F78" s="37"/>
      <c r="G78" s="37"/>
      <c r="H78" s="37"/>
      <c r="I78" s="37"/>
      <c r="K78" s="25" t="str">
        <f>IF(F78=""," ",(_xlfn.CONCAT(F78,VLOOKUP(F78,Dropdowns!$N$2:$R$19,2,1),G78,VLOOKUP(F78,Dropdowns!$N$2:$R$19,3,1),H78,VLOOKUP(F78,Dropdowns!$N$2:$R$19,4,1),I78,Dropdowns!R75,J78)))</f>
        <v xml:space="preserve"> </v>
      </c>
    </row>
    <row r="79" spans="6:11" x14ac:dyDescent="0.25">
      <c r="F79" s="37"/>
      <c r="G79" s="37"/>
      <c r="H79" s="37"/>
      <c r="I79" s="37"/>
      <c r="K79" s="25" t="str">
        <f>IF(F79=""," ",(_xlfn.CONCAT(F79,VLOOKUP(F79,Dropdowns!$N$2:$R$19,2,1),G79,VLOOKUP(F79,Dropdowns!$N$2:$R$19,3,1),H79,VLOOKUP(F79,Dropdowns!$N$2:$R$19,4,1),I79,Dropdowns!R76,J79)))</f>
        <v xml:space="preserve"> </v>
      </c>
    </row>
    <row r="80" spans="6:11" x14ac:dyDescent="0.25">
      <c r="F80" s="37"/>
      <c r="G80" s="37"/>
      <c r="H80" s="37"/>
      <c r="I80" s="37"/>
      <c r="K80" s="25" t="str">
        <f>IF(F80=""," ",(_xlfn.CONCAT(F80,VLOOKUP(F80,Dropdowns!$N$2:$R$19,2,1),G80,VLOOKUP(F80,Dropdowns!$N$2:$R$19,3,1),H80,VLOOKUP(F80,Dropdowns!$N$2:$R$19,4,1),I80,Dropdowns!R77,J80)))</f>
        <v xml:space="preserve"> </v>
      </c>
    </row>
    <row r="81" spans="6:11" x14ac:dyDescent="0.25">
      <c r="F81" s="37"/>
      <c r="G81" s="37"/>
      <c r="H81" s="37"/>
      <c r="I81" s="37"/>
      <c r="K81" s="25" t="str">
        <f>IF(F81=""," ",(_xlfn.CONCAT(F81,VLOOKUP(F81,Dropdowns!$N$2:$R$19,2,1),G81,VLOOKUP(F81,Dropdowns!$N$2:$R$19,3,1),H81,VLOOKUP(F81,Dropdowns!$N$2:$R$19,4,1),I81,Dropdowns!R78,J81)))</f>
        <v xml:space="preserve"> </v>
      </c>
    </row>
    <row r="82" spans="6:11" x14ac:dyDescent="0.25">
      <c r="F82" s="37"/>
      <c r="G82" s="37"/>
      <c r="H82" s="37"/>
      <c r="I82" s="37"/>
      <c r="K82" s="25" t="str">
        <f>IF(F82=""," ",(_xlfn.CONCAT(F82,VLOOKUP(F82,Dropdowns!$N$2:$R$19,2,1),G82,VLOOKUP(F82,Dropdowns!$N$2:$R$19,3,1),H82,VLOOKUP(F82,Dropdowns!$N$2:$R$19,4,1),I82,Dropdowns!R79,J82)))</f>
        <v xml:space="preserve"> </v>
      </c>
    </row>
    <row r="83" spans="6:11" x14ac:dyDescent="0.25">
      <c r="F83" s="37"/>
      <c r="G83" s="37"/>
      <c r="H83" s="37"/>
      <c r="I83" s="37"/>
      <c r="K83" s="25" t="str">
        <f>IF(F83=""," ",(_xlfn.CONCAT(F83,VLOOKUP(F83,Dropdowns!$N$2:$R$19,2,1),G83,VLOOKUP(F83,Dropdowns!$N$2:$R$19,3,1),H83,VLOOKUP(F83,Dropdowns!$N$2:$R$19,4,1),I83,Dropdowns!R80,J83)))</f>
        <v xml:space="preserve"> </v>
      </c>
    </row>
    <row r="84" spans="6:11" x14ac:dyDescent="0.25">
      <c r="F84" s="37"/>
      <c r="G84" s="37"/>
      <c r="H84" s="37"/>
      <c r="I84" s="37"/>
      <c r="K84" s="25" t="str">
        <f>IF(F84=""," ",(_xlfn.CONCAT(F84,VLOOKUP(F84,Dropdowns!$N$2:$R$19,2,1),G84,VLOOKUP(F84,Dropdowns!$N$2:$R$19,3,1),H84,VLOOKUP(F84,Dropdowns!$N$2:$R$19,4,1),I84,Dropdowns!R81,J84)))</f>
        <v xml:space="preserve"> </v>
      </c>
    </row>
    <row r="85" spans="6:11" x14ac:dyDescent="0.25">
      <c r="F85" s="37"/>
      <c r="G85" s="37"/>
      <c r="H85" s="37"/>
      <c r="I85" s="37"/>
      <c r="K85" s="25" t="str">
        <f>IF(F85=""," ",(_xlfn.CONCAT(F85,VLOOKUP(F85,Dropdowns!$N$2:$R$19,2,1),G85,VLOOKUP(F85,Dropdowns!$N$2:$R$19,3,1),H85,VLOOKUP(F85,Dropdowns!$N$2:$R$19,4,1),I85,Dropdowns!R82,J85)))</f>
        <v xml:space="preserve"> </v>
      </c>
    </row>
    <row r="86" spans="6:11" x14ac:dyDescent="0.25">
      <c r="F86" s="37"/>
      <c r="G86" s="37"/>
      <c r="H86" s="37"/>
      <c r="I86" s="37"/>
      <c r="K86" s="25" t="str">
        <f>IF(F86=""," ",(_xlfn.CONCAT(F86,VLOOKUP(F86,Dropdowns!$N$2:$R$19,2,1),G86,VLOOKUP(F86,Dropdowns!$N$2:$R$19,3,1),H86,VLOOKUP(F86,Dropdowns!$N$2:$R$19,4,1),I86,Dropdowns!R83,J86)))</f>
        <v xml:space="preserve"> </v>
      </c>
    </row>
    <row r="87" spans="6:11" x14ac:dyDescent="0.25">
      <c r="F87" s="37"/>
      <c r="G87" s="37"/>
      <c r="H87" s="37"/>
      <c r="I87" s="37"/>
      <c r="K87" s="25" t="str">
        <f>IF(F87=""," ",(_xlfn.CONCAT(F87,VLOOKUP(F87,Dropdowns!$N$2:$R$19,2,1),G87,VLOOKUP(F87,Dropdowns!$N$2:$R$19,3,1),H87,VLOOKUP(F87,Dropdowns!$N$2:$R$19,4,1),I87,Dropdowns!R84,J87)))</f>
        <v xml:space="preserve"> </v>
      </c>
    </row>
    <row r="88" spans="6:11" x14ac:dyDescent="0.25">
      <c r="F88" s="37"/>
      <c r="G88" s="37"/>
      <c r="H88" s="37"/>
      <c r="I88" s="37"/>
      <c r="K88" s="25" t="str">
        <f>IF(F88=""," ",(_xlfn.CONCAT(F88,VLOOKUP(F88,Dropdowns!$N$2:$R$19,2,1),G88,VLOOKUP(F88,Dropdowns!$N$2:$R$19,3,1),H88,VLOOKUP(F88,Dropdowns!$N$2:$R$19,4,1),I88,Dropdowns!R85,J88)))</f>
        <v xml:space="preserve"> </v>
      </c>
    </row>
    <row r="89" spans="6:11" x14ac:dyDescent="0.25">
      <c r="F89" s="37"/>
      <c r="G89" s="37"/>
      <c r="H89" s="37"/>
      <c r="I89" s="37"/>
      <c r="K89" s="25" t="str">
        <f>IF(F89=""," ",(_xlfn.CONCAT(F89,VLOOKUP(F89,Dropdowns!$N$2:$R$19,2,1),G89,VLOOKUP(F89,Dropdowns!$N$2:$R$19,3,1),H89,VLOOKUP(F89,Dropdowns!$N$2:$R$19,4,1),I89,Dropdowns!R86,J89)))</f>
        <v xml:space="preserve"> </v>
      </c>
    </row>
    <row r="90" spans="6:11" x14ac:dyDescent="0.25">
      <c r="F90" s="37"/>
      <c r="G90" s="37"/>
      <c r="H90" s="37"/>
      <c r="I90" s="37"/>
      <c r="K90" s="25" t="str">
        <f>IF(F90=""," ",(_xlfn.CONCAT(F90,VLOOKUP(F90,Dropdowns!$N$2:$R$19,2,1),G90,VLOOKUP(F90,Dropdowns!$N$2:$R$19,3,1),H90,VLOOKUP(F90,Dropdowns!$N$2:$R$19,4,1),I90,Dropdowns!R87,J90)))</f>
        <v xml:space="preserve"> </v>
      </c>
    </row>
    <row r="91" spans="6:11" x14ac:dyDescent="0.25">
      <c r="F91" s="37"/>
      <c r="G91" s="37"/>
      <c r="H91" s="37"/>
      <c r="I91" s="37"/>
      <c r="K91" s="25" t="str">
        <f>IF(F91=""," ",(_xlfn.CONCAT(F91,VLOOKUP(F91,Dropdowns!$N$2:$R$19,2,1),G91,VLOOKUP(F91,Dropdowns!$N$2:$R$19,3,1),H91,VLOOKUP(F91,Dropdowns!$N$2:$R$19,4,1),I91,Dropdowns!R88,J91)))</f>
        <v xml:space="preserve"> </v>
      </c>
    </row>
    <row r="92" spans="6:11" x14ac:dyDescent="0.25">
      <c r="F92" s="37"/>
      <c r="G92" s="37"/>
      <c r="H92" s="37"/>
      <c r="I92" s="37"/>
      <c r="K92" s="25" t="str">
        <f>IF(F92=""," ",(_xlfn.CONCAT(F92,VLOOKUP(F92,Dropdowns!$N$2:$R$19,2,1),G92,VLOOKUP(F92,Dropdowns!$N$2:$R$19,3,1),H92,VLOOKUP(F92,Dropdowns!$N$2:$R$19,4,1),I92,Dropdowns!R89,J92)))</f>
        <v xml:space="preserve"> </v>
      </c>
    </row>
    <row r="93" spans="6:11" x14ac:dyDescent="0.25">
      <c r="F93" s="37"/>
      <c r="G93" s="37"/>
      <c r="H93" s="37"/>
      <c r="I93" s="37"/>
      <c r="K93" s="25" t="str">
        <f>IF(F93=""," ",(_xlfn.CONCAT(F93,VLOOKUP(F93,Dropdowns!$N$2:$R$19,2,1),G93,VLOOKUP(F93,Dropdowns!$N$2:$R$19,3,1),H93,VLOOKUP(F93,Dropdowns!$N$2:$R$19,4,1),I93,Dropdowns!R90,J93)))</f>
        <v xml:space="preserve"> </v>
      </c>
    </row>
    <row r="94" spans="6:11" x14ac:dyDescent="0.25">
      <c r="F94" s="37"/>
      <c r="G94" s="37"/>
      <c r="H94" s="37"/>
      <c r="I94" s="37"/>
      <c r="K94" s="25" t="str">
        <f>IF(F94=""," ",(_xlfn.CONCAT(F94,VLOOKUP(F94,Dropdowns!$N$2:$R$19,2,1),G94,VLOOKUP(F94,Dropdowns!$N$2:$R$19,3,1),H94,VLOOKUP(F94,Dropdowns!$N$2:$R$19,4,1),I94,Dropdowns!R91,J94)))</f>
        <v xml:space="preserve"> </v>
      </c>
    </row>
    <row r="95" spans="6:11" x14ac:dyDescent="0.25">
      <c r="F95" s="37"/>
      <c r="G95" s="37"/>
      <c r="H95" s="37"/>
      <c r="I95" s="37"/>
      <c r="K95" s="25" t="str">
        <f>IF(F95=""," ",(_xlfn.CONCAT(F95,VLOOKUP(F95,Dropdowns!$N$2:$R$19,2,1),G95,VLOOKUP(F95,Dropdowns!$N$2:$R$19,3,1),H95,VLOOKUP(F95,Dropdowns!$N$2:$R$19,4,1),I95,Dropdowns!R92,J95)))</f>
        <v xml:space="preserve"> </v>
      </c>
    </row>
    <row r="96" spans="6:11" x14ac:dyDescent="0.25">
      <c r="F96" s="37"/>
      <c r="G96" s="37"/>
      <c r="H96" s="37"/>
      <c r="I96" s="37"/>
      <c r="K96" s="25" t="str">
        <f>IF(F96=""," ",(_xlfn.CONCAT(F96,VLOOKUP(F96,Dropdowns!$N$2:$R$19,2,1),G96,VLOOKUP(F96,Dropdowns!$N$2:$R$19,3,1),H96,VLOOKUP(F96,Dropdowns!$N$2:$R$19,4,1),I96,Dropdowns!R93,J96)))</f>
        <v xml:space="preserve"> </v>
      </c>
    </row>
    <row r="97" spans="6:11" x14ac:dyDescent="0.25">
      <c r="F97" s="37"/>
      <c r="G97" s="37"/>
      <c r="H97" s="37"/>
      <c r="I97" s="37"/>
      <c r="K97" s="25" t="str">
        <f>IF(F97=""," ",(_xlfn.CONCAT(F97,VLOOKUP(F97,Dropdowns!$N$2:$R$19,2,1),G97,VLOOKUP(F97,Dropdowns!$N$2:$R$19,3,1),H97,VLOOKUP(F97,Dropdowns!$N$2:$R$19,4,1),I97,Dropdowns!R94,J97)))</f>
        <v xml:space="preserve"> </v>
      </c>
    </row>
    <row r="98" spans="6:11" x14ac:dyDescent="0.25">
      <c r="F98" s="37"/>
      <c r="G98" s="37"/>
      <c r="H98" s="37"/>
      <c r="I98" s="37"/>
      <c r="K98" s="25" t="str">
        <f>IF(F98=""," ",(_xlfn.CONCAT(F98,VLOOKUP(F98,Dropdowns!$N$2:$R$19,2,1),G98,VLOOKUP(F98,Dropdowns!$N$2:$R$19,3,1),H98,VLOOKUP(F98,Dropdowns!$N$2:$R$19,4,1),I98,Dropdowns!R95,J98)))</f>
        <v xml:space="preserve"> </v>
      </c>
    </row>
    <row r="99" spans="6:11" x14ac:dyDescent="0.25">
      <c r="F99" s="37"/>
      <c r="G99" s="37"/>
      <c r="H99" s="37"/>
      <c r="I99" s="37"/>
      <c r="K99" s="25" t="str">
        <f>IF(F99=""," ",(_xlfn.CONCAT(F99,VLOOKUP(F99,Dropdowns!$N$2:$R$19,2,1),G99,VLOOKUP(F99,Dropdowns!$N$2:$R$19,3,1),H99,VLOOKUP(F99,Dropdowns!$N$2:$R$19,4,1),I99,Dropdowns!R96,J99)))</f>
        <v xml:space="preserve"> </v>
      </c>
    </row>
    <row r="100" spans="6:11" x14ac:dyDescent="0.25">
      <c r="F100" s="37"/>
      <c r="G100" s="37"/>
      <c r="H100" s="37"/>
      <c r="I100" s="37"/>
      <c r="K100" s="25" t="str">
        <f>IF(F100=""," ",(_xlfn.CONCAT(F100,VLOOKUP(F100,Dropdowns!$N$2:$R$19,2,1),G100,VLOOKUP(F100,Dropdowns!$N$2:$R$19,3,1),H100,VLOOKUP(F100,Dropdowns!$N$2:$R$19,4,1),I100,Dropdowns!R97,J100)))</f>
        <v xml:space="preserve"> </v>
      </c>
    </row>
    <row r="101" spans="6:11" x14ac:dyDescent="0.25">
      <c r="F101" s="37"/>
      <c r="G101" s="37"/>
      <c r="H101" s="37"/>
      <c r="I101" s="37"/>
      <c r="K101" s="25" t="str">
        <f>IF(F101=""," ",(_xlfn.CONCAT(F101,VLOOKUP(F101,Dropdowns!$N$2:$R$19,2,1),G101,VLOOKUP(F101,Dropdowns!$N$2:$R$19,3,1),H101,VLOOKUP(F101,Dropdowns!$N$2:$R$19,4,1),I101,Dropdowns!R98,J101)))</f>
        <v xml:space="preserve"> </v>
      </c>
    </row>
    <row r="102" spans="6:11" x14ac:dyDescent="0.25">
      <c r="F102" s="37"/>
      <c r="G102" s="37"/>
      <c r="H102" s="37"/>
      <c r="I102" s="37"/>
      <c r="K102" s="25" t="str">
        <f>IF(F102=""," ",(_xlfn.CONCAT(F102,VLOOKUP(F102,Dropdowns!$N$2:$R$19,2,1),G102,VLOOKUP(F102,Dropdowns!$N$2:$R$19,3,1),H102,VLOOKUP(F102,Dropdowns!$N$2:$R$19,4,1),I102,Dropdowns!R99,J102)))</f>
        <v xml:space="preserve"> </v>
      </c>
    </row>
    <row r="103" spans="6:11" x14ac:dyDescent="0.25">
      <c r="F103" s="37"/>
      <c r="G103" s="37"/>
      <c r="H103" s="37"/>
      <c r="I103" s="37"/>
      <c r="K103" s="25" t="str">
        <f>IF(F103=""," ",(_xlfn.CONCAT(F103,VLOOKUP(F103,Dropdowns!$N$2:$R$19,2,1),G103,VLOOKUP(F103,Dropdowns!$N$2:$R$19,3,1),H103,VLOOKUP(F103,Dropdowns!$N$2:$R$19,4,1),I103,Dropdowns!R100,J103)))</f>
        <v xml:space="preserve"> </v>
      </c>
    </row>
    <row r="104" spans="6:11" x14ac:dyDescent="0.25">
      <c r="F104" s="37"/>
      <c r="G104" s="37"/>
      <c r="H104" s="37"/>
      <c r="I104" s="37"/>
      <c r="K104" s="25" t="str">
        <f>IF(F104=""," ",(_xlfn.CONCAT(F104,VLOOKUP(F104,Dropdowns!$N$2:$R$19,2,1),G104,VLOOKUP(F104,Dropdowns!$N$2:$R$19,3,1),H104,VLOOKUP(F104,Dropdowns!$N$2:$R$19,4,1),I104,Dropdowns!R101,J104)))</f>
        <v xml:space="preserve"> </v>
      </c>
    </row>
    <row r="105" spans="6:11" x14ac:dyDescent="0.25">
      <c r="F105" s="37"/>
      <c r="G105" s="37"/>
      <c r="H105" s="37"/>
      <c r="I105" s="37"/>
      <c r="K105" s="25" t="str">
        <f>IF(F105=""," ",(_xlfn.CONCAT(F105,VLOOKUP(F105,Dropdowns!$N$2:$R$19,2,1),G105,VLOOKUP(F105,Dropdowns!$N$2:$R$19,3,1),H105,VLOOKUP(F105,Dropdowns!$N$2:$R$19,4,1),I105,Dropdowns!R102,J105)))</f>
        <v xml:space="preserve"> </v>
      </c>
    </row>
    <row r="106" spans="6:11" x14ac:dyDescent="0.25">
      <c r="F106" s="37"/>
      <c r="G106" s="37"/>
      <c r="H106" s="37"/>
      <c r="I106" s="37"/>
      <c r="K106" s="25" t="str">
        <f>IF(F106=""," ",(_xlfn.CONCAT(F106,VLOOKUP(F106,Dropdowns!$N$2:$R$19,2,1),G106,VLOOKUP(F106,Dropdowns!$N$2:$R$19,3,1),H106,VLOOKUP(F106,Dropdowns!$N$2:$R$19,4,1),I106,Dropdowns!R103,J106)))</f>
        <v xml:space="preserve"> </v>
      </c>
    </row>
    <row r="107" spans="6:11" x14ac:dyDescent="0.25">
      <c r="F107" s="37"/>
      <c r="G107" s="37"/>
      <c r="H107" s="37"/>
      <c r="I107" s="37"/>
      <c r="K107" s="25" t="str">
        <f>IF(F107=""," ",(_xlfn.CONCAT(F107,VLOOKUP(F107,Dropdowns!$N$2:$R$19,2,1),G107,VLOOKUP(F107,Dropdowns!$N$2:$R$19,3,1),H107,VLOOKUP(F107,Dropdowns!$N$2:$R$19,4,1),I107,Dropdowns!R104,J107)))</f>
        <v xml:space="preserve"> </v>
      </c>
    </row>
    <row r="108" spans="6:11" x14ac:dyDescent="0.25">
      <c r="F108" s="37"/>
      <c r="G108" s="37"/>
      <c r="H108" s="37"/>
      <c r="I108" s="37"/>
      <c r="K108" s="25" t="str">
        <f>IF(F108=""," ",(_xlfn.CONCAT(F108,VLOOKUP(F108,Dropdowns!$N$2:$R$19,2,1),G108,VLOOKUP(F108,Dropdowns!$N$2:$R$19,3,1),H108,VLOOKUP(F108,Dropdowns!$N$2:$R$19,4,1),I108,Dropdowns!R105,J108)))</f>
        <v xml:space="preserve"> </v>
      </c>
    </row>
    <row r="109" spans="6:11" x14ac:dyDescent="0.25">
      <c r="F109" s="37"/>
      <c r="G109" s="37"/>
      <c r="H109" s="37"/>
      <c r="I109" s="37"/>
      <c r="K109" s="25" t="str">
        <f>IF(F109=""," ",(_xlfn.CONCAT(F109,VLOOKUP(F109,Dropdowns!$N$2:$R$19,2,1),G109,VLOOKUP(F109,Dropdowns!$N$2:$R$19,3,1),H109,VLOOKUP(F109,Dropdowns!$N$2:$R$19,4,1),I109,Dropdowns!R106,J109)))</f>
        <v xml:space="preserve"> </v>
      </c>
    </row>
    <row r="110" spans="6:11" x14ac:dyDescent="0.25">
      <c r="F110" s="37"/>
      <c r="G110" s="37"/>
      <c r="H110" s="37"/>
      <c r="I110" s="37"/>
      <c r="K110" s="25" t="str">
        <f>IF(F110=""," ",(_xlfn.CONCAT(F110,VLOOKUP(F110,Dropdowns!$N$2:$R$19,2,1),G110,VLOOKUP(F110,Dropdowns!$N$2:$R$19,3,1),H110,VLOOKUP(F110,Dropdowns!$N$2:$R$19,4,1),I110,Dropdowns!R107,J110)))</f>
        <v xml:space="preserve"> </v>
      </c>
    </row>
    <row r="111" spans="6:11" x14ac:dyDescent="0.25">
      <c r="F111" s="37"/>
      <c r="G111" s="37"/>
      <c r="H111" s="37"/>
      <c r="I111" s="37"/>
      <c r="K111" s="25" t="str">
        <f>IF(F111=""," ",(_xlfn.CONCAT(F111,VLOOKUP(F111,Dropdowns!$N$2:$R$19,2,1),G111,VLOOKUP(F111,Dropdowns!$N$2:$R$19,3,1),H111,VLOOKUP(F111,Dropdowns!$N$2:$R$19,4,1),I111,Dropdowns!R108,J111)))</f>
        <v xml:space="preserve"> </v>
      </c>
    </row>
    <row r="112" spans="6:11" x14ac:dyDescent="0.25">
      <c r="F112" s="37"/>
      <c r="G112" s="37"/>
      <c r="H112" s="37"/>
      <c r="I112" s="37"/>
      <c r="K112" s="25" t="str">
        <f>IF(F112=""," ",(_xlfn.CONCAT(F112,VLOOKUP(F112,Dropdowns!$N$2:$R$19,2,1),G112,VLOOKUP(F112,Dropdowns!$N$2:$R$19,3,1),H112,VLOOKUP(F112,Dropdowns!$N$2:$R$19,4,1),I112,Dropdowns!R109,J112)))</f>
        <v xml:space="preserve"> </v>
      </c>
    </row>
    <row r="113" spans="6:11" x14ac:dyDescent="0.25">
      <c r="F113" s="37"/>
      <c r="G113" s="37"/>
      <c r="H113" s="37"/>
      <c r="I113" s="37"/>
      <c r="K113" s="25" t="str">
        <f>IF(F113=""," ",(_xlfn.CONCAT(F113,VLOOKUP(F113,Dropdowns!$N$2:$R$19,2,1),G113,VLOOKUP(F113,Dropdowns!$N$2:$R$19,3,1),H113,VLOOKUP(F113,Dropdowns!$N$2:$R$19,4,1),I113,Dropdowns!R110,J113)))</f>
        <v xml:space="preserve"> </v>
      </c>
    </row>
    <row r="114" spans="6:11" x14ac:dyDescent="0.25">
      <c r="F114" s="37"/>
      <c r="G114" s="37"/>
      <c r="H114" s="37"/>
      <c r="I114" s="37"/>
      <c r="K114" s="25" t="str">
        <f>IF(F114=""," ",(_xlfn.CONCAT(F114,VLOOKUP(F114,Dropdowns!$N$2:$R$19,2,1),G114,VLOOKUP(F114,Dropdowns!$N$2:$R$19,3,1),H114,VLOOKUP(F114,Dropdowns!$N$2:$R$19,4,1),I114,Dropdowns!R111,J114)))</f>
        <v xml:space="preserve"> </v>
      </c>
    </row>
    <row r="115" spans="6:11" x14ac:dyDescent="0.25">
      <c r="F115" s="37"/>
      <c r="G115" s="37"/>
      <c r="H115" s="37"/>
      <c r="I115" s="37"/>
      <c r="K115" s="25" t="str">
        <f>IF(F115=""," ",(_xlfn.CONCAT(F115,VLOOKUP(F115,Dropdowns!$N$2:$R$19,2,1),G115,VLOOKUP(F115,Dropdowns!$N$2:$R$19,3,1),H115,VLOOKUP(F115,Dropdowns!$N$2:$R$19,4,1),I115,Dropdowns!R112,J115)))</f>
        <v xml:space="preserve"> </v>
      </c>
    </row>
    <row r="116" spans="6:11" x14ac:dyDescent="0.25">
      <c r="F116" s="37"/>
      <c r="G116" s="37"/>
      <c r="H116" s="37"/>
      <c r="I116" s="37"/>
      <c r="K116" s="25" t="str">
        <f>IF(F116=""," ",(_xlfn.CONCAT(F116,VLOOKUP(F116,Dropdowns!$N$2:$R$19,2,1),G116,VLOOKUP(F116,Dropdowns!$N$2:$R$19,3,1),H116,VLOOKUP(F116,Dropdowns!$N$2:$R$19,4,1),I116,Dropdowns!R113,J116)))</f>
        <v xml:space="preserve"> </v>
      </c>
    </row>
    <row r="117" spans="6:11" x14ac:dyDescent="0.25">
      <c r="F117" s="37"/>
      <c r="G117" s="37"/>
      <c r="H117" s="37"/>
      <c r="I117" s="37"/>
      <c r="K117" s="25" t="str">
        <f>IF(F117=""," ",(_xlfn.CONCAT(F117,VLOOKUP(F117,Dropdowns!$N$2:$R$19,2,1),G117,VLOOKUP(F117,Dropdowns!$N$2:$R$19,3,1),H117,VLOOKUP(F117,Dropdowns!$N$2:$R$19,4,1),I117,Dropdowns!R114,J117)))</f>
        <v xml:space="preserve"> </v>
      </c>
    </row>
    <row r="118" spans="6:11" x14ac:dyDescent="0.25">
      <c r="F118" s="37"/>
      <c r="G118" s="37"/>
      <c r="H118" s="37"/>
      <c r="I118" s="37"/>
      <c r="K118" s="25" t="str">
        <f>IF(F118=""," ",(_xlfn.CONCAT(F118,VLOOKUP(F118,Dropdowns!$N$2:$R$19,2,1),G118,VLOOKUP(F118,Dropdowns!$N$2:$R$19,3,1),H118,VLOOKUP(F118,Dropdowns!$N$2:$R$19,4,1),I118,Dropdowns!R115,J118)))</f>
        <v xml:space="preserve"> </v>
      </c>
    </row>
    <row r="119" spans="6:11" x14ac:dyDescent="0.25">
      <c r="F119" s="37"/>
      <c r="G119" s="37"/>
      <c r="H119" s="37"/>
      <c r="I119" s="37"/>
      <c r="K119" s="25" t="str">
        <f>IF(F119=""," ",(_xlfn.CONCAT(F119,VLOOKUP(F119,Dropdowns!$N$2:$R$19,2,1),G119,VLOOKUP(F119,Dropdowns!$N$2:$R$19,3,1),H119,VLOOKUP(F119,Dropdowns!$N$2:$R$19,4,1),I119,Dropdowns!R116,J119)))</f>
        <v xml:space="preserve"> </v>
      </c>
    </row>
    <row r="120" spans="6:11" x14ac:dyDescent="0.25">
      <c r="F120" s="37"/>
      <c r="G120" s="37"/>
      <c r="H120" s="37"/>
      <c r="I120" s="37"/>
      <c r="K120" s="25" t="str">
        <f>IF(F120=""," ",(_xlfn.CONCAT(F120,VLOOKUP(F120,Dropdowns!$N$2:$R$19,2,1),G120,VLOOKUP(F120,Dropdowns!$N$2:$R$19,3,1),H120,VLOOKUP(F120,Dropdowns!$N$2:$R$19,4,1),I120,Dropdowns!R117,J120)))</f>
        <v xml:space="preserve"> </v>
      </c>
    </row>
    <row r="121" spans="6:11" x14ac:dyDescent="0.25">
      <c r="F121" s="37"/>
      <c r="G121" s="37"/>
      <c r="H121" s="37"/>
      <c r="I121" s="37"/>
      <c r="K121" s="25" t="str">
        <f>IF(F121=""," ",(_xlfn.CONCAT(F121,VLOOKUP(F121,Dropdowns!$N$2:$R$19,2,1),G121,VLOOKUP(F121,Dropdowns!$N$2:$R$19,3,1),H121,VLOOKUP(F121,Dropdowns!$N$2:$R$19,4,1),I121,Dropdowns!R118,J121)))</f>
        <v xml:space="preserve"> </v>
      </c>
    </row>
    <row r="122" spans="6:11" x14ac:dyDescent="0.25">
      <c r="F122" s="37"/>
      <c r="G122" s="37"/>
      <c r="H122" s="37"/>
      <c r="I122" s="37"/>
      <c r="K122" s="25" t="str">
        <f>IF(F122=""," ",(_xlfn.CONCAT(F122,VLOOKUP(F122,Dropdowns!$N$2:$R$19,2,1),G122,VLOOKUP(F122,Dropdowns!$N$2:$R$19,3,1),H122,VLOOKUP(F122,Dropdowns!$N$2:$R$19,4,1),I122,Dropdowns!R119,J122)))</f>
        <v xml:space="preserve"> </v>
      </c>
    </row>
    <row r="123" spans="6:11" x14ac:dyDescent="0.25">
      <c r="F123" s="37"/>
      <c r="G123" s="37"/>
      <c r="H123" s="37"/>
      <c r="I123" s="37"/>
      <c r="K123" s="25" t="str">
        <f>IF(F123=""," ",(_xlfn.CONCAT(F123,VLOOKUP(F123,Dropdowns!$N$2:$R$19,2,1),G123,VLOOKUP(F123,Dropdowns!$N$2:$R$19,3,1),H123,VLOOKUP(F123,Dropdowns!$N$2:$R$19,4,1),I123,Dropdowns!R120,J123)))</f>
        <v xml:space="preserve"> </v>
      </c>
    </row>
    <row r="124" spans="6:11" x14ac:dyDescent="0.25">
      <c r="F124" s="37"/>
      <c r="G124" s="37"/>
      <c r="H124" s="37"/>
      <c r="I124" s="37"/>
      <c r="K124" s="25" t="str">
        <f>IF(F124=""," ",(_xlfn.CONCAT(F124,VLOOKUP(F124,Dropdowns!$N$2:$R$19,2,1),G124,VLOOKUP(F124,Dropdowns!$N$2:$R$19,3,1),H124,VLOOKUP(F124,Dropdowns!$N$2:$R$19,4,1),I124,Dropdowns!R121,J124)))</f>
        <v xml:space="preserve"> </v>
      </c>
    </row>
    <row r="125" spans="6:11" x14ac:dyDescent="0.25">
      <c r="F125" s="37"/>
      <c r="G125" s="37"/>
      <c r="H125" s="37"/>
      <c r="I125" s="37"/>
      <c r="K125" s="25" t="str">
        <f>IF(F125=""," ",(_xlfn.CONCAT(F125,VLOOKUP(F125,Dropdowns!$N$2:$R$19,2,1),G125,VLOOKUP(F125,Dropdowns!$N$2:$R$19,3,1),H125,VLOOKUP(F125,Dropdowns!$N$2:$R$19,4,1),I125,Dropdowns!R122,J125)))</f>
        <v xml:space="preserve"> </v>
      </c>
    </row>
    <row r="126" spans="6:11" x14ac:dyDescent="0.25">
      <c r="F126" s="37"/>
      <c r="G126" s="37"/>
      <c r="H126" s="37"/>
      <c r="I126" s="37"/>
      <c r="K126" s="25" t="str">
        <f>IF(F126=""," ",(_xlfn.CONCAT(F126,VLOOKUP(F126,Dropdowns!$N$2:$R$19,2,1),G126,VLOOKUP(F126,Dropdowns!$N$2:$R$19,3,1),H126,VLOOKUP(F126,Dropdowns!$N$2:$R$19,4,1),I126,Dropdowns!R123,J126)))</f>
        <v xml:space="preserve"> </v>
      </c>
    </row>
    <row r="127" spans="6:11" x14ac:dyDescent="0.25">
      <c r="F127" s="37"/>
      <c r="G127" s="37"/>
      <c r="H127" s="37"/>
      <c r="I127" s="37"/>
      <c r="K127" s="25" t="str">
        <f>IF(F127=""," ",(_xlfn.CONCAT(F127,VLOOKUP(F127,Dropdowns!$N$2:$R$19,2,1),G127,VLOOKUP(F127,Dropdowns!$N$2:$R$19,3,1),H127,VLOOKUP(F127,Dropdowns!$N$2:$R$19,4,1),I127,Dropdowns!R124,J127)))</f>
        <v xml:space="preserve"> </v>
      </c>
    </row>
    <row r="128" spans="6:11" x14ac:dyDescent="0.25">
      <c r="F128" s="37"/>
      <c r="G128" s="37"/>
      <c r="H128" s="37"/>
      <c r="I128" s="37"/>
      <c r="K128" s="25" t="str">
        <f>IF(F128=""," ",(_xlfn.CONCAT(F128,VLOOKUP(F128,Dropdowns!$N$2:$R$19,2,1),G128,VLOOKUP(F128,Dropdowns!$N$2:$R$19,3,1),H128,VLOOKUP(F128,Dropdowns!$N$2:$R$19,4,1),I128,Dropdowns!R125,J128)))</f>
        <v xml:space="preserve"> </v>
      </c>
    </row>
    <row r="129" spans="6:11" x14ac:dyDescent="0.25">
      <c r="F129" s="37"/>
      <c r="G129" s="37"/>
      <c r="H129" s="37"/>
      <c r="I129" s="37"/>
      <c r="K129" s="25" t="str">
        <f>IF(F129=""," ",(_xlfn.CONCAT(F129,VLOOKUP(F129,Dropdowns!$N$2:$R$19,2,1),G129,VLOOKUP(F129,Dropdowns!$N$2:$R$19,3,1),H129,VLOOKUP(F129,Dropdowns!$N$2:$R$19,4,1),I129,Dropdowns!R126,J129)))</f>
        <v xml:space="preserve"> </v>
      </c>
    </row>
    <row r="130" spans="6:11" x14ac:dyDescent="0.25">
      <c r="F130" s="37"/>
      <c r="G130" s="37"/>
      <c r="H130" s="37"/>
      <c r="I130" s="37"/>
      <c r="K130" s="25" t="str">
        <f>IF(F130=""," ",(_xlfn.CONCAT(F130,VLOOKUP(F130,Dropdowns!$N$2:$R$19,2,1),G130,VLOOKUP(F130,Dropdowns!$N$2:$R$19,3,1),H130,VLOOKUP(F130,Dropdowns!$N$2:$R$19,4,1),I130,Dropdowns!R127,J130)))</f>
        <v xml:space="preserve"> </v>
      </c>
    </row>
    <row r="131" spans="6:11" x14ac:dyDescent="0.25">
      <c r="F131" s="37"/>
      <c r="G131" s="37"/>
      <c r="H131" s="37"/>
      <c r="I131" s="37"/>
      <c r="K131" s="25" t="str">
        <f>IF(F131=""," ",(_xlfn.CONCAT(F131,VLOOKUP(F131,Dropdowns!$N$2:$R$19,2,1),G131,VLOOKUP(F131,Dropdowns!$N$2:$R$19,3,1),H131,VLOOKUP(F131,Dropdowns!$N$2:$R$19,4,1),I131,Dropdowns!R128,J131)))</f>
        <v xml:space="preserve"> </v>
      </c>
    </row>
    <row r="132" spans="6:11" x14ac:dyDescent="0.25">
      <c r="F132" s="37"/>
      <c r="G132" s="37"/>
      <c r="H132" s="37"/>
      <c r="I132" s="37"/>
      <c r="K132" s="25" t="str">
        <f>IF(F132=""," ",(_xlfn.CONCAT(F132,VLOOKUP(F132,Dropdowns!$N$2:$R$19,2,1),G132,VLOOKUP(F132,Dropdowns!$N$2:$R$19,3,1),H132,VLOOKUP(F132,Dropdowns!$N$2:$R$19,4,1),I132,Dropdowns!R129,J132)))</f>
        <v xml:space="preserve"> </v>
      </c>
    </row>
    <row r="133" spans="6:11" x14ac:dyDescent="0.25">
      <c r="F133" s="37"/>
      <c r="G133" s="37"/>
      <c r="H133" s="37"/>
      <c r="I133" s="37"/>
      <c r="K133" s="25" t="str">
        <f>IF(F133=""," ",(_xlfn.CONCAT(F133,VLOOKUP(F133,Dropdowns!$N$2:$R$19,2,1),G133,VLOOKUP(F133,Dropdowns!$N$2:$R$19,3,1),H133,VLOOKUP(F133,Dropdowns!$N$2:$R$19,4,1),I133,Dropdowns!R130,J133)))</f>
        <v xml:space="preserve"> </v>
      </c>
    </row>
    <row r="134" spans="6:11" x14ac:dyDescent="0.25">
      <c r="F134" s="37"/>
      <c r="G134" s="37"/>
      <c r="H134" s="37"/>
      <c r="I134" s="37"/>
      <c r="K134" s="25" t="str">
        <f>IF(F134=""," ",(_xlfn.CONCAT(F134,VLOOKUP(F134,Dropdowns!$N$2:$R$19,2,1),G134,VLOOKUP(F134,Dropdowns!$N$2:$R$19,3,1),H134,VLOOKUP(F134,Dropdowns!$N$2:$R$19,4,1),I134,Dropdowns!R131,J134)))</f>
        <v xml:space="preserve"> </v>
      </c>
    </row>
    <row r="135" spans="6:11" x14ac:dyDescent="0.25">
      <c r="F135" s="37"/>
      <c r="G135" s="37"/>
      <c r="H135" s="37"/>
      <c r="I135" s="37"/>
      <c r="K135" s="25" t="str">
        <f>IF(F135=""," ",(_xlfn.CONCAT(F135,VLOOKUP(F135,Dropdowns!$N$2:$R$19,2,1),G135,VLOOKUP(F135,Dropdowns!$N$2:$R$19,3,1),H135,VLOOKUP(F135,Dropdowns!$N$2:$R$19,4,1),I135,Dropdowns!R132,J135)))</f>
        <v xml:space="preserve"> </v>
      </c>
    </row>
    <row r="136" spans="6:11" x14ac:dyDescent="0.25">
      <c r="F136" s="37"/>
      <c r="G136" s="37"/>
      <c r="H136" s="37"/>
      <c r="I136" s="37"/>
      <c r="K136" s="25" t="str">
        <f>IF(F136=""," ",(_xlfn.CONCAT(F136,VLOOKUP(F136,Dropdowns!$N$2:$R$19,2,1),G136,VLOOKUP(F136,Dropdowns!$N$2:$R$19,3,1),H136,VLOOKUP(F136,Dropdowns!$N$2:$R$19,4,1),I136,Dropdowns!R133,J136)))</f>
        <v xml:space="preserve"> </v>
      </c>
    </row>
    <row r="137" spans="6:11" x14ac:dyDescent="0.25">
      <c r="F137" s="37"/>
      <c r="G137" s="37"/>
      <c r="H137" s="37"/>
      <c r="I137" s="37"/>
      <c r="K137" s="25" t="str">
        <f>IF(F137=""," ",(_xlfn.CONCAT(F137,VLOOKUP(F137,Dropdowns!$N$2:$R$19,2,1),G137,VLOOKUP(F137,Dropdowns!$N$2:$R$19,3,1),H137,VLOOKUP(F137,Dropdowns!$N$2:$R$19,4,1),I137,Dropdowns!R134,J137)))</f>
        <v xml:space="preserve"> </v>
      </c>
    </row>
    <row r="138" spans="6:11" x14ac:dyDescent="0.25">
      <c r="F138" s="37"/>
      <c r="G138" s="37"/>
      <c r="H138" s="37"/>
      <c r="I138" s="37"/>
      <c r="K138" s="25" t="str">
        <f>IF(F138=""," ",(_xlfn.CONCAT(F138,VLOOKUP(F138,Dropdowns!$N$2:$R$19,2,1),G138,VLOOKUP(F138,Dropdowns!$N$2:$R$19,3,1),H138,VLOOKUP(F138,Dropdowns!$N$2:$R$19,4,1),I138,Dropdowns!R135,J138)))</f>
        <v xml:space="preserve"> </v>
      </c>
    </row>
    <row r="139" spans="6:11" x14ac:dyDescent="0.25">
      <c r="F139" s="37"/>
      <c r="G139" s="37"/>
      <c r="H139" s="37"/>
      <c r="I139" s="37"/>
      <c r="K139" s="25" t="str">
        <f>IF(F139=""," ",(_xlfn.CONCAT(F139,VLOOKUP(F139,Dropdowns!$N$2:$R$19,2,1),G139,VLOOKUP(F139,Dropdowns!$N$2:$R$19,3,1),H139,VLOOKUP(F139,Dropdowns!$N$2:$R$19,4,1),I139,Dropdowns!R136,J139)))</f>
        <v xml:space="preserve"> </v>
      </c>
    </row>
    <row r="140" spans="6:11" x14ac:dyDescent="0.25">
      <c r="F140" s="37"/>
      <c r="G140" s="37"/>
      <c r="H140" s="37"/>
      <c r="I140" s="37"/>
      <c r="K140" s="25" t="str">
        <f>IF(F140=""," ",(_xlfn.CONCAT(F140,VLOOKUP(F140,Dropdowns!$N$2:$R$19,2,1),G140,VLOOKUP(F140,Dropdowns!$N$2:$R$19,3,1),H140,VLOOKUP(F140,Dropdowns!$N$2:$R$19,4,1),I140,Dropdowns!R137,J140)))</f>
        <v xml:space="preserve"> </v>
      </c>
    </row>
    <row r="141" spans="6:11" x14ac:dyDescent="0.25">
      <c r="F141" s="37"/>
      <c r="G141" s="37"/>
      <c r="H141" s="37"/>
      <c r="I141" s="37"/>
      <c r="K141" s="25" t="str">
        <f>IF(F141=""," ",(_xlfn.CONCAT(F141,VLOOKUP(F141,Dropdowns!$N$2:$R$19,2,1),G141,VLOOKUP(F141,Dropdowns!$N$2:$R$19,3,1),H141,VLOOKUP(F141,Dropdowns!$N$2:$R$19,4,1),I141,Dropdowns!R138,J141)))</f>
        <v xml:space="preserve"> </v>
      </c>
    </row>
    <row r="142" spans="6:11" x14ac:dyDescent="0.25">
      <c r="F142" s="37"/>
      <c r="G142" s="37"/>
      <c r="H142" s="37"/>
      <c r="I142" s="37"/>
      <c r="K142" s="25" t="str">
        <f>IF(F142=""," ",(_xlfn.CONCAT(F142,VLOOKUP(F142,Dropdowns!$N$2:$R$19,2,1),G142,VLOOKUP(F142,Dropdowns!$N$2:$R$19,3,1),H142,VLOOKUP(F142,Dropdowns!$N$2:$R$19,4,1),I142,Dropdowns!R139,J142)))</f>
        <v xml:space="preserve"> </v>
      </c>
    </row>
    <row r="143" spans="6:11" x14ac:dyDescent="0.25">
      <c r="F143" s="37"/>
      <c r="G143" s="37"/>
      <c r="H143" s="37"/>
      <c r="I143" s="37"/>
      <c r="K143" s="25" t="str">
        <f>IF(F143=""," ",(_xlfn.CONCAT(F143,VLOOKUP(F143,Dropdowns!$N$2:$R$19,2,1),G143,VLOOKUP(F143,Dropdowns!$N$2:$R$19,3,1),H143,VLOOKUP(F143,Dropdowns!$N$2:$R$19,4,1),I143,Dropdowns!R140,J143)))</f>
        <v xml:space="preserve"> </v>
      </c>
    </row>
    <row r="144" spans="6:11" x14ac:dyDescent="0.25">
      <c r="F144" s="37"/>
      <c r="G144" s="37"/>
      <c r="H144" s="37"/>
      <c r="I144" s="37"/>
      <c r="K144" s="25" t="str">
        <f>IF(F144=""," ",(_xlfn.CONCAT(F144,VLOOKUP(F144,Dropdowns!$N$2:$R$19,2,1),G144,VLOOKUP(F144,Dropdowns!$N$2:$R$19,3,1),H144,VLOOKUP(F144,Dropdowns!$N$2:$R$19,4,1),I144,Dropdowns!R141,J144)))</f>
        <v xml:space="preserve"> </v>
      </c>
    </row>
    <row r="145" spans="6:11" x14ac:dyDescent="0.25">
      <c r="F145" s="37"/>
      <c r="G145" s="37"/>
      <c r="H145" s="37"/>
      <c r="I145" s="37"/>
      <c r="K145" s="25" t="str">
        <f>IF(F145=""," ",(_xlfn.CONCAT(F145,VLOOKUP(F145,Dropdowns!$N$2:$R$19,2,1),G145,VLOOKUP(F145,Dropdowns!$N$2:$R$19,3,1),H145,VLOOKUP(F145,Dropdowns!$N$2:$R$19,4,1),I145,Dropdowns!R142,J145)))</f>
        <v xml:space="preserve"> </v>
      </c>
    </row>
    <row r="146" spans="6:11" x14ac:dyDescent="0.25">
      <c r="F146" s="37"/>
      <c r="G146" s="37"/>
      <c r="H146" s="37"/>
      <c r="I146" s="37"/>
      <c r="K146" s="25" t="str">
        <f>IF(F146=""," ",(_xlfn.CONCAT(F146,VLOOKUP(F146,Dropdowns!$N$2:$R$19,2,1),G146,VLOOKUP(F146,Dropdowns!$N$2:$R$19,3,1),H146,VLOOKUP(F146,Dropdowns!$N$2:$R$19,4,1),I146,Dropdowns!R143,J146)))</f>
        <v xml:space="preserve"> </v>
      </c>
    </row>
    <row r="147" spans="6:11" x14ac:dyDescent="0.25">
      <c r="F147" s="37"/>
      <c r="G147" s="37"/>
      <c r="H147" s="37"/>
      <c r="I147" s="37"/>
      <c r="K147" s="25" t="str">
        <f>IF(F147=""," ",(_xlfn.CONCAT(F147,VLOOKUP(F147,Dropdowns!$N$2:$R$19,2,1),G147,VLOOKUP(F147,Dropdowns!$N$2:$R$19,3,1),H147,VLOOKUP(F147,Dropdowns!$N$2:$R$19,4,1),I147,Dropdowns!R144,J147)))</f>
        <v xml:space="preserve"> </v>
      </c>
    </row>
    <row r="148" spans="6:11" x14ac:dyDescent="0.25">
      <c r="F148" s="37"/>
      <c r="G148" s="37"/>
      <c r="H148" s="37"/>
      <c r="I148" s="37"/>
      <c r="K148" s="25" t="str">
        <f>IF(F148=""," ",(_xlfn.CONCAT(F148,VLOOKUP(F148,Dropdowns!$N$2:$R$19,2,1),G148,VLOOKUP(F148,Dropdowns!$N$2:$R$19,3,1),H148,VLOOKUP(F148,Dropdowns!$N$2:$R$19,4,1),I148,Dropdowns!R145,J148)))</f>
        <v xml:space="preserve"> </v>
      </c>
    </row>
    <row r="149" spans="6:11" x14ac:dyDescent="0.25">
      <c r="F149" s="37"/>
      <c r="G149" s="37"/>
      <c r="H149" s="37"/>
      <c r="I149" s="37"/>
      <c r="K149" s="25" t="str">
        <f>IF(F149=""," ",(_xlfn.CONCAT(F149,VLOOKUP(F149,Dropdowns!$N$2:$R$19,2,1),G149,VLOOKUP(F149,Dropdowns!$N$2:$R$19,3,1),H149,VLOOKUP(F149,Dropdowns!$N$2:$R$19,4,1),I149,Dropdowns!R146,J149)))</f>
        <v xml:space="preserve"> </v>
      </c>
    </row>
    <row r="150" spans="6:11" x14ac:dyDescent="0.25">
      <c r="F150" s="37"/>
      <c r="G150" s="37"/>
      <c r="H150" s="37"/>
      <c r="I150" s="37"/>
      <c r="K150" s="25" t="str">
        <f>IF(F150=""," ",(_xlfn.CONCAT(F150,VLOOKUP(F150,Dropdowns!$N$2:$R$19,2,1),G150,VLOOKUP(F150,Dropdowns!$N$2:$R$19,3,1),H150,VLOOKUP(F150,Dropdowns!$N$2:$R$19,4,1),I150,Dropdowns!R147,J150)))</f>
        <v xml:space="preserve"> </v>
      </c>
    </row>
    <row r="151" spans="6:11" x14ac:dyDescent="0.25">
      <c r="F151" s="37"/>
      <c r="G151" s="37"/>
      <c r="H151" s="37"/>
      <c r="I151" s="37"/>
      <c r="K151" s="25" t="str">
        <f>IF(F151=""," ",(_xlfn.CONCAT(F151,VLOOKUP(F151,Dropdowns!$N$2:$R$19,2,1),G151,VLOOKUP(F151,Dropdowns!$N$2:$R$19,3,1),H151,VLOOKUP(F151,Dropdowns!$N$2:$R$19,4,1),I151,Dropdowns!R148,J151)))</f>
        <v xml:space="preserve"> </v>
      </c>
    </row>
    <row r="152" spans="6:11" x14ac:dyDescent="0.25">
      <c r="F152" s="37"/>
      <c r="G152" s="37"/>
      <c r="H152" s="37"/>
      <c r="I152" s="37"/>
      <c r="K152" s="25" t="str">
        <f>IF(F152=""," ",(_xlfn.CONCAT(F152,VLOOKUP(F152,Dropdowns!$N$2:$R$19,2,1),G152,VLOOKUP(F152,Dropdowns!$N$2:$R$19,3,1),H152,VLOOKUP(F152,Dropdowns!$N$2:$R$19,4,1),I152,Dropdowns!R149,J152)))</f>
        <v xml:space="preserve"> </v>
      </c>
    </row>
    <row r="153" spans="6:11" x14ac:dyDescent="0.25">
      <c r="F153" s="37"/>
      <c r="G153" s="37"/>
      <c r="H153" s="37"/>
      <c r="I153" s="37"/>
      <c r="K153" s="25" t="str">
        <f>IF(F153=""," ",(_xlfn.CONCAT(F153,VLOOKUP(F153,Dropdowns!$N$2:$R$19,2,1),G153,VLOOKUP(F153,Dropdowns!$N$2:$R$19,3,1),H153,VLOOKUP(F153,Dropdowns!$N$2:$R$19,4,1),I153,Dropdowns!R150,J153)))</f>
        <v xml:space="preserve"> </v>
      </c>
    </row>
    <row r="154" spans="6:11" x14ac:dyDescent="0.25">
      <c r="F154" s="37"/>
      <c r="G154" s="37"/>
      <c r="H154" s="37"/>
      <c r="I154" s="37"/>
      <c r="K154" s="25" t="str">
        <f>IF(F154=""," ",(_xlfn.CONCAT(F154,VLOOKUP(F154,Dropdowns!$N$2:$R$19,2,1),G154,VLOOKUP(F154,Dropdowns!$N$2:$R$19,3,1),H154,VLOOKUP(F154,Dropdowns!$N$2:$R$19,4,1),I154,Dropdowns!R151,J154)))</f>
        <v xml:space="preserve"> </v>
      </c>
    </row>
    <row r="155" spans="6:11" x14ac:dyDescent="0.25">
      <c r="F155" s="37"/>
      <c r="G155" s="37"/>
      <c r="H155" s="37"/>
      <c r="I155" s="37"/>
      <c r="K155" s="25" t="str">
        <f>IF(F155=""," ",(_xlfn.CONCAT(F155,VLOOKUP(F155,Dropdowns!$N$2:$R$19,2,1),G155,VLOOKUP(F155,Dropdowns!$N$2:$R$19,3,1),H155,VLOOKUP(F155,Dropdowns!$N$2:$R$19,4,1),I155,Dropdowns!R152,J155)))</f>
        <v xml:space="preserve"> </v>
      </c>
    </row>
    <row r="156" spans="6:11" x14ac:dyDescent="0.25">
      <c r="F156" s="37"/>
      <c r="G156" s="37"/>
      <c r="H156" s="37"/>
      <c r="I156" s="37"/>
      <c r="K156" s="25" t="str">
        <f>IF(F156=""," ",(_xlfn.CONCAT(F156,VLOOKUP(F156,Dropdowns!$N$2:$R$19,2,1),G156,VLOOKUP(F156,Dropdowns!$N$2:$R$19,3,1),H156,VLOOKUP(F156,Dropdowns!$N$2:$R$19,4,1),I156,Dropdowns!R153,J156)))</f>
        <v xml:space="preserve"> </v>
      </c>
    </row>
    <row r="157" spans="6:11" x14ac:dyDescent="0.25">
      <c r="F157" s="37"/>
      <c r="G157" s="37"/>
      <c r="H157" s="37"/>
      <c r="I157" s="37"/>
      <c r="K157" s="25" t="str">
        <f>IF(F157=""," ",(_xlfn.CONCAT(F157,VLOOKUP(F157,Dropdowns!$N$2:$R$19,2,1),G157,VLOOKUP(F157,Dropdowns!$N$2:$R$19,3,1),H157,VLOOKUP(F157,Dropdowns!$N$2:$R$19,4,1),I157,Dropdowns!R154,J157)))</f>
        <v xml:space="preserve"> </v>
      </c>
    </row>
    <row r="158" spans="6:11" x14ac:dyDescent="0.25">
      <c r="F158" s="37"/>
      <c r="G158" s="37"/>
      <c r="H158" s="37"/>
      <c r="I158" s="37"/>
      <c r="K158" s="25" t="str">
        <f>IF(F158=""," ",(_xlfn.CONCAT(F158,VLOOKUP(F158,Dropdowns!$N$2:$R$19,2,1),G158,VLOOKUP(F158,Dropdowns!$N$2:$R$19,3,1),H158,VLOOKUP(F158,Dropdowns!$N$2:$R$19,4,1),I158,Dropdowns!R155,J158)))</f>
        <v xml:space="preserve"> </v>
      </c>
    </row>
    <row r="159" spans="6:11" x14ac:dyDescent="0.25">
      <c r="F159" s="37"/>
      <c r="G159" s="37"/>
      <c r="H159" s="37"/>
      <c r="K159" s="25" t="str">
        <f>IF(F159=""," ",(_xlfn.CONCAT(F159,VLOOKUP(F159,Dropdowns!$N$2:$R$19,2,1),G159,VLOOKUP(F159,Dropdowns!$N$2:$R$19,3,1),H159,VLOOKUP(F159,Dropdowns!$N$2:$R$19,4,1),I159,Dropdowns!R156,J159)))</f>
        <v xml:space="preserve"> </v>
      </c>
    </row>
    <row r="160" spans="6:11" x14ac:dyDescent="0.25">
      <c r="F160" s="37"/>
      <c r="G160" s="37"/>
      <c r="H160" s="37"/>
      <c r="K160" s="25" t="str">
        <f>IF(F160=""," ",(_xlfn.CONCAT(F160,VLOOKUP(F160,Dropdowns!$N$2:$R$19,2,1),G160,VLOOKUP(F160,Dropdowns!$N$2:$R$19,3,1),H160,VLOOKUP(F160,Dropdowns!$N$2:$R$19,4,1),I160,Dropdowns!R157,J160)))</f>
        <v xml:space="preserve"> </v>
      </c>
    </row>
    <row r="161" spans="6:11" x14ac:dyDescent="0.25">
      <c r="F161" s="37"/>
      <c r="G161" s="37"/>
      <c r="H161" s="37"/>
      <c r="K161" s="25" t="str">
        <f>IF(F161=""," ",(_xlfn.CONCAT(F161,VLOOKUP(F161,Dropdowns!$N$2:$R$19,2,1),G161,VLOOKUP(F161,Dropdowns!$N$2:$R$19,3,1),H161,VLOOKUP(F161,Dropdowns!$N$2:$R$19,4,1),I161,Dropdowns!R158,J161)))</f>
        <v xml:space="preserve"> </v>
      </c>
    </row>
    <row r="162" spans="6:11" x14ac:dyDescent="0.25">
      <c r="F162" s="37"/>
      <c r="G162" s="37"/>
      <c r="H162" s="37"/>
      <c r="K162" s="25" t="str">
        <f>IF(F162=""," ",(_xlfn.CONCAT(F162,VLOOKUP(F162,Dropdowns!$N$2:$R$19,2,1),G162,VLOOKUP(F162,Dropdowns!$N$2:$R$19,3,1),H162,VLOOKUP(F162,Dropdowns!$N$2:$R$19,4,1),I162,Dropdowns!R159,J162)))</f>
        <v xml:space="preserve"> </v>
      </c>
    </row>
    <row r="163" spans="6:11" x14ac:dyDescent="0.25">
      <c r="F163" s="37"/>
      <c r="G163" s="37"/>
      <c r="H163" s="37"/>
      <c r="K163" s="25" t="str">
        <f>IF(F163=""," ",(_xlfn.CONCAT(F163,VLOOKUP(F163,Dropdowns!$N$2:$R$19,2,1),G163,VLOOKUP(F163,Dropdowns!$N$2:$R$19,3,1),H163,VLOOKUP(F163,Dropdowns!$N$2:$R$19,4,1),I163,Dropdowns!R160,J163)))</f>
        <v xml:space="preserve"> </v>
      </c>
    </row>
    <row r="164" spans="6:11" x14ac:dyDescent="0.25">
      <c r="F164" s="37"/>
      <c r="G164" s="37"/>
      <c r="H164" s="37"/>
      <c r="K164" s="25" t="str">
        <f>IF(F164=""," ",(_xlfn.CONCAT(F164,VLOOKUP(F164,Dropdowns!$N$2:$R$19,2,1),G164,VLOOKUP(F164,Dropdowns!$N$2:$R$19,3,1),H164,VLOOKUP(F164,Dropdowns!$N$2:$R$19,4,1),I164,Dropdowns!R161,J164)))</f>
        <v xml:space="preserve"> </v>
      </c>
    </row>
    <row r="165" spans="6:11" x14ac:dyDescent="0.25">
      <c r="F165" s="37"/>
      <c r="G165" s="37"/>
      <c r="H165" s="37"/>
      <c r="K165" s="25" t="str">
        <f>IF(F165=""," ",(_xlfn.CONCAT(F165,VLOOKUP(F165,Dropdowns!$N$2:$R$19,2,1),G165,VLOOKUP(F165,Dropdowns!$N$2:$R$19,3,1),H165,VLOOKUP(F165,Dropdowns!$N$2:$R$19,4,1),I165,Dropdowns!R162,J165)))</f>
        <v xml:space="preserve"> </v>
      </c>
    </row>
    <row r="166" spans="6:11" x14ac:dyDescent="0.25">
      <c r="F166" s="37"/>
      <c r="G166" s="37"/>
      <c r="H166" s="37"/>
      <c r="K166" s="25" t="str">
        <f>IF(F166=""," ",(_xlfn.CONCAT(F166,VLOOKUP(F166,Dropdowns!$N$2:$R$19,2,1),G166,VLOOKUP(F166,Dropdowns!$N$2:$R$19,3,1),H166,VLOOKUP(F166,Dropdowns!$N$2:$R$19,4,1),I166,Dropdowns!R163,J166)))</f>
        <v xml:space="preserve"> </v>
      </c>
    </row>
    <row r="167" spans="6:11" x14ac:dyDescent="0.25">
      <c r="F167" s="37"/>
      <c r="G167" s="37"/>
      <c r="H167" s="37"/>
      <c r="K167" s="25" t="str">
        <f>IF(F167=""," ",(_xlfn.CONCAT(F167,VLOOKUP(F167,Dropdowns!$N$2:$R$19,2,1),G167,VLOOKUP(F167,Dropdowns!$N$2:$R$19,3,1),H167,VLOOKUP(F167,Dropdowns!$N$2:$R$19,4,1),I167,Dropdowns!R164,J167)))</f>
        <v xml:space="preserve"> </v>
      </c>
    </row>
    <row r="168" spans="6:11" x14ac:dyDescent="0.25">
      <c r="F168" s="37"/>
      <c r="G168" s="37"/>
      <c r="H168" s="37"/>
      <c r="K168" s="25" t="str">
        <f>IF(F168=""," ",(_xlfn.CONCAT(F168,VLOOKUP(F168,Dropdowns!$N$2:$R$19,2,1),G168,VLOOKUP(F168,Dropdowns!$N$2:$R$19,3,1),H168,VLOOKUP(F168,Dropdowns!$N$2:$R$19,4,1),I168,Dropdowns!R165,J168)))</f>
        <v xml:space="preserve"> </v>
      </c>
    </row>
    <row r="169" spans="6:11" x14ac:dyDescent="0.25">
      <c r="F169" s="37"/>
      <c r="G169" s="37"/>
      <c r="H169" s="37"/>
      <c r="K169" s="25" t="str">
        <f>IF(F169=""," ",(_xlfn.CONCAT(F169,VLOOKUP(F169,Dropdowns!$N$2:$R$19,2,1),G169,VLOOKUP(F169,Dropdowns!$N$2:$R$19,3,1),H169,VLOOKUP(F169,Dropdowns!$N$2:$R$19,4,1),I169,Dropdowns!R166,J169)))</f>
        <v xml:space="preserve"> </v>
      </c>
    </row>
    <row r="170" spans="6:11" x14ac:dyDescent="0.25">
      <c r="F170" s="37"/>
      <c r="G170" s="37"/>
      <c r="H170" s="37"/>
      <c r="K170" s="25" t="str">
        <f>IF(F170=""," ",(_xlfn.CONCAT(F170,VLOOKUP(F170,Dropdowns!$N$2:$R$19,2,1),G170,VLOOKUP(F170,Dropdowns!$N$2:$R$19,3,1),H170,VLOOKUP(F170,Dropdowns!$N$2:$R$19,4,1),I170,Dropdowns!R167,J170)))</f>
        <v xml:space="preserve"> </v>
      </c>
    </row>
    <row r="171" spans="6:11" x14ac:dyDescent="0.25">
      <c r="F171" s="37"/>
      <c r="G171" s="37"/>
      <c r="H171" s="37"/>
      <c r="K171" s="25" t="str">
        <f>IF(F171=""," ",(_xlfn.CONCAT(F171,VLOOKUP(F171,Dropdowns!$N$2:$R$19,2,1),G171,VLOOKUP(F171,Dropdowns!$N$2:$R$19,3,1),H171,VLOOKUP(F171,Dropdowns!$N$2:$R$19,4,1),I171,Dropdowns!R168,J171)))</f>
        <v xml:space="preserve"> </v>
      </c>
    </row>
    <row r="172" spans="6:11" x14ac:dyDescent="0.25">
      <c r="F172" s="37"/>
      <c r="G172" s="37"/>
      <c r="H172" s="37"/>
      <c r="K172" s="25" t="str">
        <f>IF(F172=""," ",(_xlfn.CONCAT(F172,VLOOKUP(F172,Dropdowns!$N$2:$R$19,2,1),G172,VLOOKUP(F172,Dropdowns!$N$2:$R$19,3,1),H172,VLOOKUP(F172,Dropdowns!$N$2:$R$19,4,1),I172,Dropdowns!R169,J172)))</f>
        <v xml:space="preserve"> </v>
      </c>
    </row>
    <row r="173" spans="6:11" x14ac:dyDescent="0.25">
      <c r="F173" s="37"/>
      <c r="G173" s="37"/>
      <c r="H173" s="37"/>
      <c r="K173" s="25" t="str">
        <f>IF(F173=""," ",(_xlfn.CONCAT(F173,VLOOKUP(F173,Dropdowns!$N$2:$R$19,2,1),G173,VLOOKUP(F173,Dropdowns!$N$2:$R$19,3,1),H173,VLOOKUP(F173,Dropdowns!$N$2:$R$19,4,1),I173,Dropdowns!R170,J173)))</f>
        <v xml:space="preserve"> </v>
      </c>
    </row>
    <row r="174" spans="6:11" x14ac:dyDescent="0.25">
      <c r="F174" s="37"/>
      <c r="G174" s="37"/>
      <c r="H174" s="37"/>
      <c r="K174" s="25" t="str">
        <f>IF(F174=""," ",(_xlfn.CONCAT(F174,VLOOKUP(F174,Dropdowns!$N$2:$R$19,2,1),G174,VLOOKUP(F174,Dropdowns!$N$2:$R$19,3,1),H174,VLOOKUP(F174,Dropdowns!$N$2:$R$19,4,1),I174,Dropdowns!R171,J174)))</f>
        <v xml:space="preserve"> </v>
      </c>
    </row>
    <row r="175" spans="6:11" x14ac:dyDescent="0.25">
      <c r="F175" s="37"/>
      <c r="G175" s="37"/>
      <c r="H175" s="37"/>
      <c r="K175" s="25" t="str">
        <f>IF(F175=""," ",(_xlfn.CONCAT(F175,VLOOKUP(F175,Dropdowns!$N$2:$R$19,2,1),G175,VLOOKUP(F175,Dropdowns!$N$2:$R$19,3,1),H175,VLOOKUP(F175,Dropdowns!$N$2:$R$19,4,1),I175,Dropdowns!R172,J175)))</f>
        <v xml:space="preserve"> </v>
      </c>
    </row>
    <row r="176" spans="6:11" x14ac:dyDescent="0.25">
      <c r="F176" s="37"/>
      <c r="G176" s="37"/>
      <c r="H176" s="37"/>
      <c r="K176" s="25" t="str">
        <f>IF(F176=""," ",(_xlfn.CONCAT(F176,VLOOKUP(F176,Dropdowns!$N$2:$R$19,2,1),G176,VLOOKUP(F176,Dropdowns!$N$2:$R$19,3,1),H176,VLOOKUP(F176,Dropdowns!$N$2:$R$19,4,1),I176,Dropdowns!R173,J176)))</f>
        <v xml:space="preserve"> </v>
      </c>
    </row>
    <row r="177" spans="6:11" x14ac:dyDescent="0.25">
      <c r="F177" s="37"/>
      <c r="G177" s="37"/>
      <c r="H177" s="37"/>
      <c r="K177" s="25" t="str">
        <f>IF(F177=""," ",(_xlfn.CONCAT(F177,VLOOKUP(F177,Dropdowns!$N$2:$R$19,2,1),G177,VLOOKUP(F177,Dropdowns!$N$2:$R$19,3,1),H177,VLOOKUP(F177,Dropdowns!$N$2:$R$19,4,1),I177,Dropdowns!R174,J177)))</f>
        <v xml:space="preserve"> </v>
      </c>
    </row>
    <row r="178" spans="6:11" x14ac:dyDescent="0.25">
      <c r="F178" s="37"/>
      <c r="G178" s="37"/>
      <c r="H178" s="37"/>
      <c r="K178" s="25" t="str">
        <f>IF(F178=""," ",(_xlfn.CONCAT(F178,VLOOKUP(F178,Dropdowns!$N$2:$R$19,2,1),G178,VLOOKUP(F178,Dropdowns!$N$2:$R$19,3,1),H178,VLOOKUP(F178,Dropdowns!$N$2:$R$19,4,1),I178,Dropdowns!R175,J178)))</f>
        <v xml:space="preserve"> </v>
      </c>
    </row>
    <row r="179" spans="6:11" x14ac:dyDescent="0.25">
      <c r="F179" s="37"/>
      <c r="G179" s="37"/>
      <c r="H179" s="37"/>
      <c r="K179" s="25" t="str">
        <f>IF(F179=""," ",(_xlfn.CONCAT(F179,VLOOKUP(F179,Dropdowns!$N$2:$R$19,2,1),G179,VLOOKUP(F179,Dropdowns!$N$2:$R$19,3,1),H179,VLOOKUP(F179,Dropdowns!$N$2:$R$19,4,1),I179,Dropdowns!R176,J179)))</f>
        <v xml:space="preserve"> </v>
      </c>
    </row>
    <row r="180" spans="6:11" x14ac:dyDescent="0.25">
      <c r="F180" s="37"/>
      <c r="G180" s="37"/>
      <c r="H180" s="37"/>
      <c r="K180" s="25" t="str">
        <f>IF(F180=""," ",(_xlfn.CONCAT(F180,VLOOKUP(F180,Dropdowns!$N$2:$R$19,2,1),G180,VLOOKUP(F180,Dropdowns!$N$2:$R$19,3,1),H180,VLOOKUP(F180,Dropdowns!$N$2:$R$19,4,1),I180,Dropdowns!R177,J180)))</f>
        <v xml:space="preserve"> </v>
      </c>
    </row>
    <row r="181" spans="6:11" x14ac:dyDescent="0.25">
      <c r="F181" s="37"/>
      <c r="G181" s="37"/>
      <c r="H181" s="37"/>
      <c r="K181" s="25" t="str">
        <f>IF(F181=""," ",(_xlfn.CONCAT(F181,VLOOKUP(F181,Dropdowns!$N$2:$R$19,2,1),G181,VLOOKUP(F181,Dropdowns!$N$2:$R$19,3,1),H181,VLOOKUP(F181,Dropdowns!$N$2:$R$19,4,1),I181,Dropdowns!R178,J181)))</f>
        <v xml:space="preserve"> </v>
      </c>
    </row>
    <row r="182" spans="6:11" x14ac:dyDescent="0.25">
      <c r="F182" s="37"/>
      <c r="G182" s="37"/>
      <c r="H182" s="37"/>
      <c r="K182" s="25" t="str">
        <f>IF(F182=""," ",(_xlfn.CONCAT(F182,VLOOKUP(F182,Dropdowns!$N$2:$R$19,2,1),G182,VLOOKUP(F182,Dropdowns!$N$2:$R$19,3,1),H182,VLOOKUP(F182,Dropdowns!$N$2:$R$19,4,1),I182,Dropdowns!R179,J182)))</f>
        <v xml:space="preserve"> </v>
      </c>
    </row>
    <row r="183" spans="6:11" x14ac:dyDescent="0.25">
      <c r="F183" s="37"/>
      <c r="G183" s="37"/>
      <c r="H183" s="37"/>
      <c r="K183" s="25" t="str">
        <f>IF(F183=""," ",(_xlfn.CONCAT(F183,VLOOKUP(F183,Dropdowns!$N$2:$R$19,2,1),G183,VLOOKUP(F183,Dropdowns!$N$2:$R$19,3,1),H183,VLOOKUP(F183,Dropdowns!$N$2:$R$19,4,1),I183,Dropdowns!R180,J183)))</f>
        <v xml:space="preserve"> </v>
      </c>
    </row>
    <row r="184" spans="6:11" x14ac:dyDescent="0.25">
      <c r="F184" s="37"/>
      <c r="G184" s="37"/>
      <c r="H184" s="37"/>
      <c r="K184" s="25" t="str">
        <f>IF(F184=""," ",(_xlfn.CONCAT(F184,VLOOKUP(F184,Dropdowns!$N$2:$R$19,2,1),G184,VLOOKUP(F184,Dropdowns!$N$2:$R$19,3,1),H184,VLOOKUP(F184,Dropdowns!$N$2:$R$19,4,1),I184,Dropdowns!R181,J184)))</f>
        <v xml:space="preserve"> </v>
      </c>
    </row>
    <row r="185" spans="6:11" x14ac:dyDescent="0.25">
      <c r="F185" s="37"/>
      <c r="G185" s="37"/>
      <c r="H185" s="37"/>
      <c r="K185" s="25" t="str">
        <f>IF(F185=""," ",(_xlfn.CONCAT(F185,VLOOKUP(F185,Dropdowns!$N$2:$R$19,2,1),G185,VLOOKUP(F185,Dropdowns!$N$2:$R$19,3,1),H185,VLOOKUP(F185,Dropdowns!$N$2:$R$19,4,1),I185,Dropdowns!R182,J185)))</f>
        <v xml:space="preserve"> </v>
      </c>
    </row>
    <row r="186" spans="6:11" x14ac:dyDescent="0.25">
      <c r="F186" s="37"/>
      <c r="G186" s="37"/>
      <c r="H186" s="37"/>
      <c r="K186" s="25" t="str">
        <f>IF(F186=""," ",(_xlfn.CONCAT(F186,VLOOKUP(F186,Dropdowns!$N$2:$R$19,2,1),G186,VLOOKUP(F186,Dropdowns!$N$2:$R$19,3,1),H186,VLOOKUP(F186,Dropdowns!$N$2:$R$19,4,1),I186,Dropdowns!R183,J186)))</f>
        <v xml:space="preserve"> </v>
      </c>
    </row>
    <row r="187" spans="6:11" x14ac:dyDescent="0.25">
      <c r="F187" s="37"/>
      <c r="G187" s="37"/>
      <c r="H187" s="37"/>
      <c r="K187" s="25" t="str">
        <f>IF(F187=""," ",(_xlfn.CONCAT(F187,VLOOKUP(F187,Dropdowns!$N$2:$R$19,2,1),G187,VLOOKUP(F187,Dropdowns!$N$2:$R$19,3,1),H187,VLOOKUP(F187,Dropdowns!$N$2:$R$19,4,1),I187,Dropdowns!R184,J187)))</f>
        <v xml:space="preserve"> </v>
      </c>
    </row>
    <row r="188" spans="6:11" x14ac:dyDescent="0.25">
      <c r="F188" s="37"/>
      <c r="G188" s="37"/>
      <c r="H188" s="37"/>
      <c r="K188" s="25" t="str">
        <f>IF(F188=""," ",(_xlfn.CONCAT(F188,VLOOKUP(F188,Dropdowns!$N$2:$R$19,2,1),G188,VLOOKUP(F188,Dropdowns!$N$2:$R$19,3,1),H188,VLOOKUP(F188,Dropdowns!$N$2:$R$19,4,1),I188,Dropdowns!R185,J188)))</f>
        <v xml:space="preserve"> </v>
      </c>
    </row>
    <row r="189" spans="6:11" x14ac:dyDescent="0.25">
      <c r="F189" s="37"/>
      <c r="G189" s="37"/>
      <c r="H189" s="37"/>
      <c r="K189" s="25" t="str">
        <f>IF(F189=""," ",(_xlfn.CONCAT(F189,VLOOKUP(F189,Dropdowns!$N$2:$R$19,2,1),G189,VLOOKUP(F189,Dropdowns!$N$2:$R$19,3,1),H189,VLOOKUP(F189,Dropdowns!$N$2:$R$19,4,1),I189,Dropdowns!R186,J189)))</f>
        <v xml:space="preserve"> </v>
      </c>
    </row>
    <row r="190" spans="6:11" x14ac:dyDescent="0.25">
      <c r="F190" s="37"/>
      <c r="G190" s="37"/>
      <c r="H190" s="37"/>
      <c r="K190" s="25" t="str">
        <f>IF(F190=""," ",(_xlfn.CONCAT(F190,VLOOKUP(F190,Dropdowns!$N$2:$R$19,2,1),G190,VLOOKUP(F190,Dropdowns!$N$2:$R$19,3,1),H190,VLOOKUP(F190,Dropdowns!$N$2:$R$19,4,1),I190,Dropdowns!R187,J190)))</f>
        <v xml:space="preserve"> </v>
      </c>
    </row>
    <row r="191" spans="6:11" x14ac:dyDescent="0.25">
      <c r="F191" s="37"/>
      <c r="G191" s="37"/>
      <c r="H191" s="37"/>
      <c r="K191" s="25" t="str">
        <f>IF(F191=""," ",(_xlfn.CONCAT(F191,VLOOKUP(F191,Dropdowns!$N$2:$R$19,2,1),G191,VLOOKUP(F191,Dropdowns!$N$2:$R$19,3,1),H191,VLOOKUP(F191,Dropdowns!$N$2:$R$19,4,1),I191,Dropdowns!R188,J191)))</f>
        <v xml:space="preserve"> </v>
      </c>
    </row>
    <row r="192" spans="6:11" x14ac:dyDescent="0.25">
      <c r="F192" s="37"/>
      <c r="G192" s="37"/>
      <c r="H192" s="37"/>
      <c r="K192" s="25" t="str">
        <f>IF(F192=""," ",(_xlfn.CONCAT(F192,VLOOKUP(F192,Dropdowns!$N$2:$R$19,2,1),G192,VLOOKUP(F192,Dropdowns!$N$2:$R$19,3,1),H192,VLOOKUP(F192,Dropdowns!$N$2:$R$19,4,1),I192,Dropdowns!R189,J192)))</f>
        <v xml:space="preserve"> </v>
      </c>
    </row>
    <row r="193" spans="6:11" x14ac:dyDescent="0.25">
      <c r="F193" s="37"/>
      <c r="G193" s="37"/>
      <c r="H193" s="37"/>
      <c r="K193" s="25" t="str">
        <f>IF(F193=""," ",(_xlfn.CONCAT(F193,VLOOKUP(F193,Dropdowns!$N$2:$R$19,2,1),G193,VLOOKUP(F193,Dropdowns!$N$2:$R$19,3,1),H193,VLOOKUP(F193,Dropdowns!$N$2:$R$19,4,1),I193,Dropdowns!R190,J193)))</f>
        <v xml:space="preserve"> </v>
      </c>
    </row>
    <row r="194" spans="6:11" x14ac:dyDescent="0.25">
      <c r="F194" s="37"/>
      <c r="G194" s="37"/>
      <c r="H194" s="37"/>
      <c r="K194" s="25" t="str">
        <f>IF(F194=""," ",(_xlfn.CONCAT(F194,VLOOKUP(F194,Dropdowns!$N$2:$R$19,2,1),G194,VLOOKUP(F194,Dropdowns!$N$2:$R$19,3,1),H194,VLOOKUP(F194,Dropdowns!$N$2:$R$19,4,1),I194,Dropdowns!R191,J194)))</f>
        <v xml:space="preserve"> </v>
      </c>
    </row>
    <row r="195" spans="6:11" x14ac:dyDescent="0.25">
      <c r="F195" s="37"/>
      <c r="G195" s="37"/>
      <c r="H195" s="37"/>
      <c r="K195" s="25" t="str">
        <f>IF(F195=""," ",(_xlfn.CONCAT(F195,VLOOKUP(F195,Dropdowns!$N$2:$R$19,2,1),G195,VLOOKUP(F195,Dropdowns!$N$2:$R$19,3,1),H195,VLOOKUP(F195,Dropdowns!$N$2:$R$19,4,1),I195,Dropdowns!R192,J195)))</f>
        <v xml:space="preserve"> </v>
      </c>
    </row>
    <row r="196" spans="6:11" x14ac:dyDescent="0.25">
      <c r="F196" s="37"/>
      <c r="G196" s="37"/>
      <c r="H196" s="37"/>
      <c r="K196" s="25" t="str">
        <f>IF(F196=""," ",(_xlfn.CONCAT(F196,VLOOKUP(F196,Dropdowns!$N$2:$R$19,2,1),G196,VLOOKUP(F196,Dropdowns!$N$2:$R$19,3,1),H196,VLOOKUP(F196,Dropdowns!$N$2:$R$19,4,1),I196,Dropdowns!R193,J196)))</f>
        <v xml:space="preserve"> </v>
      </c>
    </row>
    <row r="197" spans="6:11" x14ac:dyDescent="0.25">
      <c r="F197" s="37"/>
      <c r="G197" s="37"/>
      <c r="H197" s="37"/>
      <c r="K197" s="25" t="str">
        <f>IF(F197=""," ",(_xlfn.CONCAT(F197,VLOOKUP(F197,Dropdowns!$N$2:$R$19,2,1),G197,VLOOKUP(F197,Dropdowns!$N$2:$R$19,3,1),H197,VLOOKUP(F197,Dropdowns!$N$2:$R$19,4,1),I197,Dropdowns!R194,J197)))</f>
        <v xml:space="preserve"> </v>
      </c>
    </row>
    <row r="198" spans="6:11" x14ac:dyDescent="0.25">
      <c r="F198" s="37"/>
      <c r="G198" s="37"/>
      <c r="H198" s="37"/>
      <c r="K198" s="25" t="str">
        <f>IF(F198=""," ",(_xlfn.CONCAT(F198,VLOOKUP(F198,Dropdowns!$N$2:$R$19,2,1),G198,VLOOKUP(F198,Dropdowns!$N$2:$R$19,3,1),H198,VLOOKUP(F198,Dropdowns!$N$2:$R$19,4,1),I198,Dropdowns!R195,J198)))</f>
        <v xml:space="preserve"> </v>
      </c>
    </row>
    <row r="199" spans="6:11" x14ac:dyDescent="0.25">
      <c r="F199" s="37"/>
      <c r="G199" s="37"/>
      <c r="H199" s="37"/>
      <c r="K199" s="25" t="str">
        <f>IF(F199=""," ",(_xlfn.CONCAT(F199,VLOOKUP(F199,Dropdowns!$N$2:$R$19,2,1),G199,VLOOKUP(F199,Dropdowns!$N$2:$R$19,3,1),H199,VLOOKUP(F199,Dropdowns!$N$2:$R$19,4,1),I199,Dropdowns!R196,J199)))</f>
        <v xml:space="preserve"> </v>
      </c>
    </row>
    <row r="200" spans="6:11" x14ac:dyDescent="0.25">
      <c r="F200" s="37"/>
      <c r="G200" s="37"/>
      <c r="H200" s="37"/>
      <c r="K200" s="25" t="str">
        <f>IF(F200=""," ",(_xlfn.CONCAT(F200,VLOOKUP(F200,Dropdowns!$N$2:$R$19,2,1),G200,VLOOKUP(F200,Dropdowns!$N$2:$R$19,3,1),H200,VLOOKUP(F200,Dropdowns!$N$2:$R$19,4,1),I200,Dropdowns!R197,J200)))</f>
        <v xml:space="preserve"> </v>
      </c>
    </row>
    <row r="201" spans="6:11" x14ac:dyDescent="0.25">
      <c r="F201" s="37"/>
      <c r="G201" s="37"/>
      <c r="H201" s="37"/>
      <c r="K201" s="25" t="str">
        <f>IF(F201=""," ",(_xlfn.CONCAT(F201,VLOOKUP(F201,Dropdowns!$N$2:$R$19,2,1),G201,VLOOKUP(F201,Dropdowns!$N$2:$R$19,3,1),H201,VLOOKUP(F201,Dropdowns!$N$2:$R$19,4,1),I201,Dropdowns!R198,J201)))</f>
        <v xml:space="preserve"> </v>
      </c>
    </row>
    <row r="202" spans="6:11" x14ac:dyDescent="0.25">
      <c r="F202" s="37"/>
      <c r="G202" s="37"/>
      <c r="H202" s="37"/>
      <c r="K202" s="25" t="str">
        <f>IF(F202=""," ",(_xlfn.CONCAT(F202,VLOOKUP(F202,Dropdowns!$N$2:$R$19,2,1),G202,VLOOKUP(F202,Dropdowns!$N$2:$R$19,3,1),H202,VLOOKUP(F202,Dropdowns!$N$2:$R$19,4,1),I202,Dropdowns!R199,J202)))</f>
        <v xml:space="preserve"> </v>
      </c>
    </row>
    <row r="203" spans="6:11" x14ac:dyDescent="0.25">
      <c r="F203" s="37"/>
      <c r="G203" s="37"/>
      <c r="H203" s="37"/>
      <c r="K203" s="25" t="str">
        <f>IF(F203=""," ",(_xlfn.CONCAT(F203,VLOOKUP(F203,Dropdowns!$N$2:$R$19,2,1),G203,VLOOKUP(F203,Dropdowns!$N$2:$R$19,3,1),H203,VLOOKUP(F203,Dropdowns!$N$2:$R$19,4,1),I203,Dropdowns!R200,J203)))</f>
        <v xml:space="preserve"> </v>
      </c>
    </row>
    <row r="204" spans="6:11" x14ac:dyDescent="0.25">
      <c r="F204" s="37"/>
      <c r="G204" s="37"/>
      <c r="H204" s="37"/>
      <c r="K204" s="25" t="str">
        <f>IF(F204=""," ",(_xlfn.CONCAT(F204,VLOOKUP(F204,Dropdowns!$N$2:$R$19,2,1),G204,VLOOKUP(F204,Dropdowns!$N$2:$R$19,3,1),H204,VLOOKUP(F204,Dropdowns!$N$2:$R$19,4,1),I204,Dropdowns!R201,J204)))</f>
        <v xml:space="preserve"> </v>
      </c>
    </row>
    <row r="205" spans="6:11" x14ac:dyDescent="0.25">
      <c r="F205" s="37"/>
      <c r="G205" s="37"/>
      <c r="H205" s="37"/>
      <c r="K205" s="25" t="str">
        <f>IF(F205=""," ",(_xlfn.CONCAT(F205,VLOOKUP(F205,Dropdowns!$N$2:$R$19,2,1),G205,VLOOKUP(F205,Dropdowns!$N$2:$R$19,3,1),H205,VLOOKUP(F205,Dropdowns!$N$2:$R$19,4,1),I205,Dropdowns!R202,J205)))</f>
        <v xml:space="preserve"> </v>
      </c>
    </row>
    <row r="206" spans="6:11" x14ac:dyDescent="0.25">
      <c r="F206" s="37"/>
      <c r="G206" s="37"/>
      <c r="H206" s="37"/>
      <c r="K206" s="25" t="str">
        <f>IF(F206=""," ",(_xlfn.CONCAT(F206,VLOOKUP(F206,Dropdowns!$N$2:$R$19,2,1),G206,VLOOKUP(F206,Dropdowns!$N$2:$R$19,3,1),H206,VLOOKUP(F206,Dropdowns!$N$2:$R$19,4,1),I206,Dropdowns!R203,J206)))</f>
        <v xml:space="preserve"> </v>
      </c>
    </row>
    <row r="207" spans="6:11" x14ac:dyDescent="0.25">
      <c r="F207" s="37"/>
      <c r="G207" s="37"/>
      <c r="H207" s="37"/>
      <c r="K207" s="25" t="str">
        <f>IF(F207=""," ",(_xlfn.CONCAT(F207,VLOOKUP(F207,Dropdowns!$N$2:$R$19,2,1),G207,VLOOKUP(F207,Dropdowns!$N$2:$R$19,3,1),H207,VLOOKUP(F207,Dropdowns!$N$2:$R$19,4,1),I207,Dropdowns!R204,J207)))</f>
        <v xml:space="preserve"> </v>
      </c>
    </row>
    <row r="208" spans="6:11" x14ac:dyDescent="0.25">
      <c r="F208" s="37"/>
      <c r="G208" s="37"/>
      <c r="H208" s="37"/>
      <c r="K208" s="25" t="str">
        <f>IF(F208=""," ",(_xlfn.CONCAT(F208,VLOOKUP(F208,Dropdowns!$N$2:$R$19,2,1),G208,VLOOKUP(F208,Dropdowns!$N$2:$R$19,3,1),H208,VLOOKUP(F208,Dropdowns!$N$2:$R$19,4,1),I208,Dropdowns!R205,J208)))</f>
        <v xml:space="preserve"> </v>
      </c>
    </row>
    <row r="209" spans="6:11" x14ac:dyDescent="0.25">
      <c r="F209" s="37"/>
      <c r="G209" s="37"/>
      <c r="H209" s="37"/>
      <c r="K209" s="25" t="str">
        <f>IF(F209=""," ",(_xlfn.CONCAT(F209,VLOOKUP(F209,Dropdowns!$N$2:$R$19,2,1),G209,VLOOKUP(F209,Dropdowns!$N$2:$R$19,3,1),H209,VLOOKUP(F209,Dropdowns!$N$2:$R$19,4,1),I209,Dropdowns!R206,J209)))</f>
        <v xml:space="preserve"> </v>
      </c>
    </row>
    <row r="210" spans="6:11" x14ac:dyDescent="0.25">
      <c r="F210" s="37"/>
      <c r="G210" s="37"/>
      <c r="H210" s="37"/>
      <c r="K210" s="25" t="str">
        <f>IF(F210=""," ",(_xlfn.CONCAT(F210,VLOOKUP(F210,Dropdowns!$N$2:$R$19,2,1),G210,VLOOKUP(F210,Dropdowns!$N$2:$R$19,3,1),H210,VLOOKUP(F210,Dropdowns!$N$2:$R$19,4,1),I210,Dropdowns!R207,J210)))</f>
        <v xml:space="preserve"> </v>
      </c>
    </row>
    <row r="211" spans="6:11" x14ac:dyDescent="0.25">
      <c r="F211" s="37"/>
      <c r="G211" s="37"/>
      <c r="H211" s="37"/>
      <c r="K211" s="25" t="str">
        <f>IF(F211=""," ",(_xlfn.CONCAT(F211,VLOOKUP(F211,Dropdowns!$N$2:$R$19,2,1),G211,VLOOKUP(F211,Dropdowns!$N$2:$R$19,3,1),H211,VLOOKUP(F211,Dropdowns!$N$2:$R$19,4,1),I211,Dropdowns!R208,J211)))</f>
        <v xml:space="preserve"> </v>
      </c>
    </row>
    <row r="212" spans="6:11" x14ac:dyDescent="0.25">
      <c r="F212" s="37"/>
      <c r="G212" s="37"/>
      <c r="H212" s="37"/>
      <c r="K212" s="25" t="str">
        <f>IF(F212=""," ",(_xlfn.CONCAT(F212,VLOOKUP(F212,Dropdowns!$N$2:$R$19,2,1),G212,VLOOKUP(F212,Dropdowns!$N$2:$R$19,3,1),H212,VLOOKUP(F212,Dropdowns!$N$2:$R$19,4,1),I212,Dropdowns!R209,J212)))</f>
        <v xml:space="preserve"> </v>
      </c>
    </row>
    <row r="213" spans="6:11" x14ac:dyDescent="0.25">
      <c r="F213" s="37"/>
      <c r="G213" s="37"/>
      <c r="H213" s="37"/>
      <c r="K213" s="25" t="str">
        <f>IF(F213=""," ",(_xlfn.CONCAT(F213,VLOOKUP(F213,Dropdowns!$N$2:$R$19,2,1),G213,VLOOKUP(F213,Dropdowns!$N$2:$R$19,3,1),H213,VLOOKUP(F213,Dropdowns!$N$2:$R$19,4,1),I213,Dropdowns!R210,J213)))</f>
        <v xml:space="preserve"> </v>
      </c>
    </row>
    <row r="214" spans="6:11" x14ac:dyDescent="0.25">
      <c r="F214" s="37"/>
      <c r="G214" s="37"/>
      <c r="H214" s="37"/>
      <c r="K214" s="25" t="str">
        <f>IF(F214=""," ",(_xlfn.CONCAT(F214,VLOOKUP(F214,Dropdowns!$N$2:$R$19,2,1),G214,VLOOKUP(F214,Dropdowns!$N$2:$R$19,3,1),H214,VLOOKUP(F214,Dropdowns!$N$2:$R$19,4,1),I214,Dropdowns!R211,J214)))</f>
        <v xml:space="preserve"> </v>
      </c>
    </row>
    <row r="215" spans="6:11" x14ac:dyDescent="0.25">
      <c r="F215" s="37"/>
      <c r="G215" s="37"/>
      <c r="H215" s="37"/>
      <c r="K215" s="25" t="str">
        <f>IF(F215=""," ",(_xlfn.CONCAT(F215,VLOOKUP(F215,Dropdowns!$N$2:$R$19,2,1),G215,VLOOKUP(F215,Dropdowns!$N$2:$R$19,3,1),H215,VLOOKUP(F215,Dropdowns!$N$2:$R$19,4,1),I215,Dropdowns!R212,J215)))</f>
        <v xml:space="preserve"> </v>
      </c>
    </row>
    <row r="216" spans="6:11" x14ac:dyDescent="0.25">
      <c r="G216" s="37"/>
      <c r="H216" s="37"/>
      <c r="K216" s="25" t="str">
        <f>IF(F216=""," ",(_xlfn.CONCAT(F216,VLOOKUP(F216,Dropdowns!$N$2:$R$19,2,1),G216,VLOOKUP(F216,Dropdowns!$N$2:$R$19,3,1),H216,VLOOKUP(F216,Dropdowns!$N$2:$R$19,4,1),I216,Dropdowns!R213,J216)))</f>
        <v xml:space="preserve"> </v>
      </c>
    </row>
    <row r="217" spans="6:11" x14ac:dyDescent="0.25">
      <c r="G217" s="37"/>
      <c r="H217" s="37"/>
      <c r="K217" s="25" t="str">
        <f>IF(F217=""," ",(_xlfn.CONCAT(F217,VLOOKUP(F217,Dropdowns!$N$2:$R$19,2,1),G217,VLOOKUP(F217,Dropdowns!$N$2:$R$19,3,1),H217,VLOOKUP(F217,Dropdowns!$N$2:$R$19,4,1),I217,Dropdowns!R214,J217)))</f>
        <v xml:space="preserve"> </v>
      </c>
    </row>
    <row r="218" spans="6:11" x14ac:dyDescent="0.25">
      <c r="G218" s="37"/>
      <c r="H218" s="37"/>
      <c r="K218" s="25" t="str">
        <f>IF(F218=""," ",(_xlfn.CONCAT(F218,VLOOKUP(F218,Dropdowns!$N$2:$R$19,2,1),G218,VLOOKUP(F218,Dropdowns!$N$2:$R$19,3,1),H218,VLOOKUP(F218,Dropdowns!$N$2:$R$19,4,1),I218,Dropdowns!R215,J218)))</f>
        <v xml:space="preserve"> </v>
      </c>
    </row>
    <row r="219" spans="6:11" x14ac:dyDescent="0.25">
      <c r="G219" s="37"/>
      <c r="H219" s="37"/>
      <c r="K219" s="25" t="str">
        <f>IF(F219=""," ",(_xlfn.CONCAT(F219,VLOOKUP(F219,Dropdowns!$N$2:$R$19,2,1),G219,VLOOKUP(F219,Dropdowns!$N$2:$R$19,3,1),H219,VLOOKUP(F219,Dropdowns!$N$2:$R$19,4,1),I219,Dropdowns!R216,J219)))</f>
        <v xml:space="preserve"> </v>
      </c>
    </row>
    <row r="220" spans="6:11" x14ac:dyDescent="0.25">
      <c r="G220" s="37"/>
      <c r="H220" s="37"/>
      <c r="K220" s="25" t="str">
        <f>IF(F220=""," ",(_xlfn.CONCAT(F220,VLOOKUP(F220,Dropdowns!$N$2:$R$19,2,1),G220,VLOOKUP(F220,Dropdowns!$N$2:$R$19,3,1),H220,VLOOKUP(F220,Dropdowns!$N$2:$R$19,4,1),I220,Dropdowns!R217,J220)))</f>
        <v xml:space="preserve"> </v>
      </c>
    </row>
    <row r="221" spans="6:11" x14ac:dyDescent="0.25">
      <c r="G221" s="37"/>
      <c r="H221" s="37"/>
      <c r="K221" s="25" t="str">
        <f>IF(F221=""," ",(_xlfn.CONCAT(F221,VLOOKUP(F221,Dropdowns!$N$2:$R$19,2,1),G221,VLOOKUP(F221,Dropdowns!$N$2:$R$19,3,1),H221,VLOOKUP(F221,Dropdowns!$N$2:$R$19,4,1),I221,Dropdowns!R218,J221)))</f>
        <v xml:space="preserve"> </v>
      </c>
    </row>
    <row r="222" spans="6:11" x14ac:dyDescent="0.25">
      <c r="G222" s="37"/>
      <c r="H222" s="37"/>
      <c r="K222" s="25" t="str">
        <f>IF(F222=""," ",(_xlfn.CONCAT(F222,VLOOKUP(F222,Dropdowns!$N$2:$R$19,2,1),G222,VLOOKUP(F222,Dropdowns!$N$2:$R$19,3,1),H222,VLOOKUP(F222,Dropdowns!$N$2:$R$19,4,1),I222,Dropdowns!R219,J222)))</f>
        <v xml:space="preserve"> </v>
      </c>
    </row>
    <row r="223" spans="6:11" x14ac:dyDescent="0.25">
      <c r="G223" s="37"/>
      <c r="H223" s="37"/>
      <c r="K223" s="25" t="str">
        <f>IF(F223=""," ",(_xlfn.CONCAT(F223,VLOOKUP(F223,Dropdowns!$N$2:$R$19,2,1),G223,VLOOKUP(F223,Dropdowns!$N$2:$R$19,3,1),H223,VLOOKUP(F223,Dropdowns!$N$2:$R$19,4,1),I223,Dropdowns!R220,J223)))</f>
        <v xml:space="preserve"> </v>
      </c>
    </row>
    <row r="224" spans="6:11" x14ac:dyDescent="0.25">
      <c r="G224" s="37"/>
      <c r="H224" s="37"/>
      <c r="K224" s="25" t="str">
        <f>IF(F224=""," ",(_xlfn.CONCAT(F224,VLOOKUP(F224,Dropdowns!$N$2:$R$19,2,1),G224,VLOOKUP(F224,Dropdowns!$N$2:$R$19,3,1),H224,VLOOKUP(F224,Dropdowns!$N$2:$R$19,4,1),I224,Dropdowns!R221,J224)))</f>
        <v xml:space="preserve"> </v>
      </c>
    </row>
    <row r="225" spans="7:11" x14ac:dyDescent="0.25">
      <c r="G225" s="37"/>
      <c r="H225" s="37"/>
      <c r="K225" s="25" t="str">
        <f>IF(F225=""," ",(_xlfn.CONCAT(F225,VLOOKUP(F225,Dropdowns!$N$2:$R$19,2,1),G225,VLOOKUP(F225,Dropdowns!$N$2:$R$19,3,1),H225,VLOOKUP(F225,Dropdowns!$N$2:$R$19,4,1),I225,Dropdowns!R222,J225)))</f>
        <v xml:space="preserve"> </v>
      </c>
    </row>
    <row r="226" spans="7:11" x14ac:dyDescent="0.25">
      <c r="G226" s="37"/>
      <c r="H226" s="37"/>
      <c r="K226" s="25" t="str">
        <f>IF(F226=""," ",(_xlfn.CONCAT(F226,VLOOKUP(F226,Dropdowns!$N$2:$R$19,2,1),G226,VLOOKUP(F226,Dropdowns!$N$2:$R$19,3,1),H226,VLOOKUP(F226,Dropdowns!$N$2:$R$19,4,1),I226,Dropdowns!R223,J226)))</f>
        <v xml:space="preserve"> </v>
      </c>
    </row>
    <row r="227" spans="7:11" x14ac:dyDescent="0.25">
      <c r="G227" s="37"/>
      <c r="H227" s="37"/>
      <c r="K227" s="25" t="str">
        <f>IF(F227=""," ",(_xlfn.CONCAT(F227,VLOOKUP(F227,Dropdowns!$N$2:$R$19,2,1),G227,VLOOKUP(F227,Dropdowns!$N$2:$R$19,3,1),H227,VLOOKUP(F227,Dropdowns!$N$2:$R$19,4,1),I227,Dropdowns!R224,J227)))</f>
        <v xml:space="preserve"> </v>
      </c>
    </row>
    <row r="228" spans="7:11" x14ac:dyDescent="0.25">
      <c r="G228" s="37"/>
      <c r="H228" s="37"/>
      <c r="K228" s="25" t="str">
        <f>IF(F228=""," ",(_xlfn.CONCAT(F228,VLOOKUP(F228,Dropdowns!$N$2:$R$19,2,1),G228,VLOOKUP(F228,Dropdowns!$N$2:$R$19,3,1),H228,VLOOKUP(F228,Dropdowns!$N$2:$R$19,4,1),I228,Dropdowns!R225,J228)))</f>
        <v xml:space="preserve"> </v>
      </c>
    </row>
    <row r="229" spans="7:11" x14ac:dyDescent="0.25">
      <c r="G229" s="37"/>
      <c r="H229" s="37"/>
      <c r="K229" s="25" t="str">
        <f>IF(F229=""," ",(_xlfn.CONCAT(F229,VLOOKUP(F229,Dropdowns!$N$2:$R$19,2,1),G229,VLOOKUP(F229,Dropdowns!$N$2:$R$19,3,1),H229,VLOOKUP(F229,Dropdowns!$N$2:$R$19,4,1),I229,Dropdowns!R226,J229)))</f>
        <v xml:space="preserve"> </v>
      </c>
    </row>
    <row r="230" spans="7:11" x14ac:dyDescent="0.25">
      <c r="G230" s="37"/>
      <c r="H230" s="37"/>
      <c r="K230" s="25" t="str">
        <f>IF(F230=""," ",(_xlfn.CONCAT(F230,VLOOKUP(F230,Dropdowns!$N$2:$R$19,2,1),G230,VLOOKUP(F230,Dropdowns!$N$2:$R$19,3,1),H230,VLOOKUP(F230,Dropdowns!$N$2:$R$19,4,1),I230,Dropdowns!R227,J230)))</f>
        <v xml:space="preserve"> </v>
      </c>
    </row>
    <row r="231" spans="7:11" x14ac:dyDescent="0.25">
      <c r="G231" s="37"/>
      <c r="H231" s="37"/>
      <c r="K231" s="25" t="str">
        <f>IF(F231=""," ",(_xlfn.CONCAT(F231,VLOOKUP(F231,Dropdowns!$N$2:$R$19,2,1),G231,VLOOKUP(F231,Dropdowns!$N$2:$R$19,3,1),H231,VLOOKUP(F231,Dropdowns!$N$2:$R$19,4,1),I231,Dropdowns!R228,J231)))</f>
        <v xml:space="preserve"> </v>
      </c>
    </row>
    <row r="232" spans="7:11" x14ac:dyDescent="0.25">
      <c r="G232" s="37"/>
      <c r="H232" s="37"/>
      <c r="K232" s="25" t="str">
        <f>IF(F232=""," ",(_xlfn.CONCAT(F232,VLOOKUP(F232,Dropdowns!$N$2:$R$19,2,1),G232,VLOOKUP(F232,Dropdowns!$N$2:$R$19,3,1),H232,VLOOKUP(F232,Dropdowns!$N$2:$R$19,4,1),I232,Dropdowns!R229,J232)))</f>
        <v xml:space="preserve"> </v>
      </c>
    </row>
    <row r="233" spans="7:11" x14ac:dyDescent="0.25">
      <c r="G233" s="37"/>
      <c r="H233" s="37"/>
      <c r="K233" s="25" t="str">
        <f>IF(F233=""," ",(_xlfn.CONCAT(F233,VLOOKUP(F233,Dropdowns!$N$2:$R$19,2,1),G233,VLOOKUP(F233,Dropdowns!$N$2:$R$19,3,1),H233,VLOOKUP(F233,Dropdowns!$N$2:$R$19,4,1),I233,Dropdowns!R230,J233)))</f>
        <v xml:space="preserve"> </v>
      </c>
    </row>
    <row r="234" spans="7:11" x14ac:dyDescent="0.25">
      <c r="G234" s="37"/>
      <c r="H234" s="37"/>
      <c r="K234" s="25" t="str">
        <f>IF(F234=""," ",(_xlfn.CONCAT(F234,VLOOKUP(F234,Dropdowns!$N$2:$R$19,2,1),G234,VLOOKUP(F234,Dropdowns!$N$2:$R$19,3,1),H234,VLOOKUP(F234,Dropdowns!$N$2:$R$19,4,1),I234,Dropdowns!R231,J234)))</f>
        <v xml:space="preserve"> </v>
      </c>
    </row>
    <row r="235" spans="7:11" x14ac:dyDescent="0.25">
      <c r="G235" s="37"/>
      <c r="H235" s="37"/>
      <c r="K235" s="25" t="str">
        <f>IF(F235=""," ",(_xlfn.CONCAT(F235,VLOOKUP(F235,Dropdowns!$N$2:$R$19,2,1),G235,VLOOKUP(F235,Dropdowns!$N$2:$R$19,3,1),H235,VLOOKUP(F235,Dropdowns!$N$2:$R$19,4,1),I235,Dropdowns!R232,J235)))</f>
        <v xml:space="preserve"> </v>
      </c>
    </row>
    <row r="236" spans="7:11" x14ac:dyDescent="0.25">
      <c r="G236" s="37"/>
      <c r="H236" s="37"/>
      <c r="K236" s="25" t="str">
        <f>IF(F236=""," ",(_xlfn.CONCAT(F236,VLOOKUP(F236,Dropdowns!$N$2:$R$19,2,1),G236,VLOOKUP(F236,Dropdowns!$N$2:$R$19,3,1),H236,VLOOKUP(F236,Dropdowns!$N$2:$R$19,4,1),I236,Dropdowns!R233,J236)))</f>
        <v xml:space="preserve"> </v>
      </c>
    </row>
    <row r="237" spans="7:11" x14ac:dyDescent="0.25">
      <c r="G237" s="37"/>
      <c r="H237" s="37"/>
      <c r="K237" s="25" t="str">
        <f>IF(F237=""," ",(_xlfn.CONCAT(F237,VLOOKUP(F237,Dropdowns!$N$2:$R$19,2,1),G237,VLOOKUP(F237,Dropdowns!$N$2:$R$19,3,1),H237,VLOOKUP(F237,Dropdowns!$N$2:$R$19,4,1),I237,Dropdowns!R234,J237)))</f>
        <v xml:space="preserve"> </v>
      </c>
    </row>
    <row r="238" spans="7:11" x14ac:dyDescent="0.25">
      <c r="G238" s="37"/>
      <c r="H238" s="37"/>
      <c r="K238" s="25" t="str">
        <f>IF(F238=""," ",(_xlfn.CONCAT(F238,VLOOKUP(F238,Dropdowns!$N$2:$R$19,2,1),G238,VLOOKUP(F238,Dropdowns!$N$2:$R$19,3,1),H238,VLOOKUP(F238,Dropdowns!$N$2:$R$19,4,1),I238,Dropdowns!R235,J238)))</f>
        <v xml:space="preserve"> </v>
      </c>
    </row>
    <row r="239" spans="7:11" x14ac:dyDescent="0.25">
      <c r="G239" s="37"/>
      <c r="H239" s="37"/>
      <c r="K239" s="25" t="str">
        <f>IF(F239=""," ",(_xlfn.CONCAT(F239,VLOOKUP(F239,Dropdowns!$N$2:$R$19,2,1),G239,VLOOKUP(F239,Dropdowns!$N$2:$R$19,3,1),H239,VLOOKUP(F239,Dropdowns!$N$2:$R$19,4,1),I239,Dropdowns!R236,J239)))</f>
        <v xml:space="preserve"> </v>
      </c>
    </row>
    <row r="240" spans="7:11" x14ac:dyDescent="0.25">
      <c r="G240" s="37"/>
      <c r="H240" s="37"/>
      <c r="K240" s="25" t="str">
        <f>IF(F240=""," ",(_xlfn.CONCAT(F240,VLOOKUP(F240,Dropdowns!$N$2:$R$19,2,1),G240,VLOOKUP(F240,Dropdowns!$N$2:$R$19,3,1),H240,VLOOKUP(F240,Dropdowns!$N$2:$R$19,4,1),I240,Dropdowns!R237,J240)))</f>
        <v xml:space="preserve"> </v>
      </c>
    </row>
    <row r="241" spans="7:11" x14ac:dyDescent="0.25">
      <c r="G241" s="37"/>
      <c r="H241" s="37"/>
      <c r="K241" s="25" t="str">
        <f>IF(F241=""," ",(_xlfn.CONCAT(F241,VLOOKUP(F241,Dropdowns!$N$2:$R$19,2,1),G241,VLOOKUP(F241,Dropdowns!$N$2:$R$19,3,1),H241,VLOOKUP(F241,Dropdowns!$N$2:$R$19,4,1),I241,Dropdowns!R238,J241)))</f>
        <v xml:space="preserve"> </v>
      </c>
    </row>
    <row r="242" spans="7:11" x14ac:dyDescent="0.25">
      <c r="G242" s="37"/>
      <c r="H242" s="37"/>
      <c r="K242" s="25" t="str">
        <f>IF(F242=""," ",(_xlfn.CONCAT(F242,VLOOKUP(F242,Dropdowns!$N$2:$R$19,2,1),G242,VLOOKUP(F242,Dropdowns!$N$2:$R$19,3,1),H242,VLOOKUP(F242,Dropdowns!$N$2:$R$19,4,1),I242,Dropdowns!R239,J242)))</f>
        <v xml:space="preserve"> </v>
      </c>
    </row>
    <row r="243" spans="7:11" x14ac:dyDescent="0.25">
      <c r="G243" s="37"/>
      <c r="H243" s="37"/>
      <c r="K243" s="25" t="str">
        <f>IF(F243=""," ",(_xlfn.CONCAT(F243,VLOOKUP(F243,Dropdowns!$N$2:$R$19,2,1),G243,VLOOKUP(F243,Dropdowns!$N$2:$R$19,3,1),H243,VLOOKUP(F243,Dropdowns!$N$2:$R$19,4,1),I243,Dropdowns!R240,J243)))</f>
        <v xml:space="preserve"> </v>
      </c>
    </row>
    <row r="244" spans="7:11" x14ac:dyDescent="0.25">
      <c r="G244" s="37"/>
      <c r="H244" s="37"/>
      <c r="K244" s="25" t="str">
        <f>IF(F244=""," ",(_xlfn.CONCAT(F244,VLOOKUP(F244,Dropdowns!$N$2:$R$19,2,1),G244,VLOOKUP(F244,Dropdowns!$N$2:$R$19,3,1),H244,VLOOKUP(F244,Dropdowns!$N$2:$R$19,4,1),I244,Dropdowns!R241,J244)))</f>
        <v xml:space="preserve"> </v>
      </c>
    </row>
    <row r="245" spans="7:11" x14ac:dyDescent="0.25">
      <c r="G245" s="37"/>
      <c r="H245" s="37"/>
      <c r="K245" s="25" t="str">
        <f>IF(F245=""," ",(_xlfn.CONCAT(F245,VLOOKUP(F245,Dropdowns!$N$2:$R$19,2,1),G245,VLOOKUP(F245,Dropdowns!$N$2:$R$19,3,1),H245,VLOOKUP(F245,Dropdowns!$N$2:$R$19,4,1),I245,Dropdowns!R242,J245)))</f>
        <v xml:space="preserve"> </v>
      </c>
    </row>
    <row r="246" spans="7:11" x14ac:dyDescent="0.25">
      <c r="G246" s="37"/>
      <c r="H246" s="37"/>
      <c r="K246" s="25" t="str">
        <f>IF(F246=""," ",(_xlfn.CONCAT(F246,VLOOKUP(F246,Dropdowns!$N$2:$R$19,2,1),G246,VLOOKUP(F246,Dropdowns!$N$2:$R$19,3,1),H246,VLOOKUP(F246,Dropdowns!$N$2:$R$19,4,1),I246,Dropdowns!R243,J246)))</f>
        <v xml:space="preserve"> </v>
      </c>
    </row>
    <row r="247" spans="7:11" x14ac:dyDescent="0.25">
      <c r="G247" s="37"/>
      <c r="H247" s="37"/>
      <c r="K247" s="25" t="str">
        <f>IF(F247=""," ",(_xlfn.CONCAT(F247,VLOOKUP(F247,Dropdowns!$N$2:$R$19,2,1),G247,VLOOKUP(F247,Dropdowns!$N$2:$R$19,3,1),H247,VLOOKUP(F247,Dropdowns!$N$2:$R$19,4,1),I247,Dropdowns!R244,J247)))</f>
        <v xml:space="preserve"> </v>
      </c>
    </row>
    <row r="248" spans="7:11" x14ac:dyDescent="0.25">
      <c r="G248" s="37"/>
      <c r="H248" s="37"/>
      <c r="K248" s="25" t="str">
        <f>IF(F248=""," ",(_xlfn.CONCAT(F248,VLOOKUP(F248,Dropdowns!$N$2:$R$19,2,1),G248,VLOOKUP(F248,Dropdowns!$N$2:$R$19,3,1),H248,VLOOKUP(F248,Dropdowns!$N$2:$R$19,4,1),I248,Dropdowns!R245,J248)))</f>
        <v xml:space="preserve"> </v>
      </c>
    </row>
    <row r="249" spans="7:11" x14ac:dyDescent="0.25">
      <c r="G249" s="37"/>
      <c r="H249" s="37"/>
      <c r="K249" s="25" t="str">
        <f>IF(F249=""," ",(_xlfn.CONCAT(F249,VLOOKUP(F249,Dropdowns!$N$2:$R$19,2,1),G249,VLOOKUP(F249,Dropdowns!$N$2:$R$19,3,1),H249,VLOOKUP(F249,Dropdowns!$N$2:$R$19,4,1),I249,Dropdowns!R246,J249)))</f>
        <v xml:space="preserve"> </v>
      </c>
    </row>
    <row r="250" spans="7:11" x14ac:dyDescent="0.25">
      <c r="G250" s="37"/>
      <c r="H250" s="37"/>
      <c r="K250" s="25" t="str">
        <f>IF(F250=""," ",(_xlfn.CONCAT(F250,VLOOKUP(F250,Dropdowns!$N$2:$R$19,2,1),G250,VLOOKUP(F250,Dropdowns!$N$2:$R$19,3,1),H250,VLOOKUP(F250,Dropdowns!$N$2:$R$19,4,1),I250,Dropdowns!R247,J250)))</f>
        <v xml:space="preserve"> </v>
      </c>
    </row>
    <row r="251" spans="7:11" x14ac:dyDescent="0.25">
      <c r="G251" s="37"/>
      <c r="H251" s="37"/>
      <c r="K251" s="25" t="str">
        <f>IF(F251=""," ",(_xlfn.CONCAT(F251,VLOOKUP(F251,Dropdowns!$N$2:$R$19,2,1),G251,VLOOKUP(F251,Dropdowns!$N$2:$R$19,3,1),H251,VLOOKUP(F251,Dropdowns!$N$2:$R$19,4,1),I251,Dropdowns!R248,J251)))</f>
        <v xml:space="preserve"> </v>
      </c>
    </row>
    <row r="252" spans="7:11" x14ac:dyDescent="0.25">
      <c r="G252" s="37"/>
      <c r="H252" s="37"/>
      <c r="K252" s="25" t="str">
        <f>IF(F252=""," ",(_xlfn.CONCAT(F252,VLOOKUP(F252,Dropdowns!$N$2:$R$19,2,1),G252,VLOOKUP(F252,Dropdowns!$N$2:$R$19,3,1),H252,VLOOKUP(F252,Dropdowns!$N$2:$R$19,4,1),I252,Dropdowns!R249,J252)))</f>
        <v xml:space="preserve"> </v>
      </c>
    </row>
    <row r="253" spans="7:11" x14ac:dyDescent="0.25">
      <c r="G253" s="37"/>
      <c r="H253" s="37"/>
      <c r="K253" s="25" t="str">
        <f>IF(F253=""," ",(_xlfn.CONCAT(F253,VLOOKUP(F253,Dropdowns!$N$2:$R$19,2,1),G253,VLOOKUP(F253,Dropdowns!$N$2:$R$19,3,1),H253,VLOOKUP(F253,Dropdowns!$N$2:$R$19,4,1),I253,Dropdowns!R250,J253)))</f>
        <v xml:space="preserve"> </v>
      </c>
    </row>
    <row r="254" spans="7:11" x14ac:dyDescent="0.25">
      <c r="G254" s="37"/>
      <c r="H254" s="37"/>
      <c r="K254" s="25" t="str">
        <f>IF(F254=""," ",(_xlfn.CONCAT(F254,VLOOKUP(F254,Dropdowns!$N$2:$R$19,2,1),G254,VLOOKUP(F254,Dropdowns!$N$2:$R$19,3,1),H254,VLOOKUP(F254,Dropdowns!$N$2:$R$19,4,1),I254,Dropdowns!R251,J254)))</f>
        <v xml:space="preserve"> </v>
      </c>
    </row>
    <row r="255" spans="7:11" x14ac:dyDescent="0.25">
      <c r="G255" s="37"/>
      <c r="H255" s="37"/>
      <c r="K255" s="25" t="str">
        <f>IF(F255=""," ",(_xlfn.CONCAT(F255,VLOOKUP(F255,Dropdowns!$N$2:$R$19,2,1),G255,VLOOKUP(F255,Dropdowns!$N$2:$R$19,3,1),H255,VLOOKUP(F255,Dropdowns!$N$2:$R$19,4,1),I255,Dropdowns!R252,J255)))</f>
        <v xml:space="preserve"> </v>
      </c>
    </row>
    <row r="256" spans="7:11" x14ac:dyDescent="0.25">
      <c r="G256" s="37"/>
      <c r="H256" s="37"/>
      <c r="K256" s="25" t="str">
        <f>IF(F256=""," ",(_xlfn.CONCAT(F256,VLOOKUP(F256,Dropdowns!$N$2:$R$19,2,1),G256,VLOOKUP(F256,Dropdowns!$N$2:$R$19,3,1),H256,VLOOKUP(F256,Dropdowns!$N$2:$R$19,4,1),I256,Dropdowns!R253,J256)))</f>
        <v xml:space="preserve"> </v>
      </c>
    </row>
    <row r="257" spans="7:11" x14ac:dyDescent="0.25">
      <c r="G257" s="37"/>
      <c r="H257" s="37"/>
      <c r="K257" s="25" t="str">
        <f>IF(F257=""," ",(_xlfn.CONCAT(F257,VLOOKUP(F257,Dropdowns!$N$2:$R$19,2,1),G257,VLOOKUP(F257,Dropdowns!$N$2:$R$19,3,1),H257,VLOOKUP(F257,Dropdowns!$N$2:$R$19,4,1),I257,Dropdowns!R254,J257)))</f>
        <v xml:space="preserve"> </v>
      </c>
    </row>
    <row r="258" spans="7:11" x14ac:dyDescent="0.25">
      <c r="G258" s="37"/>
      <c r="H258" s="37"/>
      <c r="K258" s="25" t="str">
        <f>IF(F258=""," ",(_xlfn.CONCAT(F258,VLOOKUP(F258,Dropdowns!$N$2:$R$19,2,1),G258,VLOOKUP(F258,Dropdowns!$N$2:$R$19,3,1),H258,VLOOKUP(F258,Dropdowns!$N$2:$R$19,4,1),I258,Dropdowns!R255,J258)))</f>
        <v xml:space="preserve"> </v>
      </c>
    </row>
    <row r="259" spans="7:11" x14ac:dyDescent="0.25">
      <c r="G259" s="37"/>
      <c r="H259" s="37"/>
      <c r="K259" s="25" t="str">
        <f>IF(F259=""," ",(_xlfn.CONCAT(F259,VLOOKUP(F259,Dropdowns!$N$2:$R$19,2,1),G259,VLOOKUP(F259,Dropdowns!$N$2:$R$19,3,1),H259,VLOOKUP(F259,Dropdowns!$N$2:$R$19,4,1),I259,Dropdowns!R256,J259)))</f>
        <v xml:space="preserve"> </v>
      </c>
    </row>
    <row r="260" spans="7:11" x14ac:dyDescent="0.25">
      <c r="G260" s="37"/>
      <c r="H260" s="37"/>
      <c r="K260" s="25" t="str">
        <f>IF(F260=""," ",(_xlfn.CONCAT(F260,VLOOKUP(F260,Dropdowns!$N$2:$R$19,2,1),G260,VLOOKUP(F260,Dropdowns!$N$2:$R$19,3,1),H260,VLOOKUP(F260,Dropdowns!$N$2:$R$19,4,1),I260,Dropdowns!R257,J260)))</f>
        <v xml:space="preserve"> </v>
      </c>
    </row>
    <row r="261" spans="7:11" x14ac:dyDescent="0.25">
      <c r="G261" s="37"/>
      <c r="H261" s="37"/>
      <c r="K261" s="25" t="str">
        <f>IF(F261=""," ",(_xlfn.CONCAT(F261,VLOOKUP(F261,Dropdowns!$N$2:$R$19,2,1),G261,VLOOKUP(F261,Dropdowns!$N$2:$R$19,3,1),H261,VLOOKUP(F261,Dropdowns!$N$2:$R$19,4,1),I261,Dropdowns!R258,J261)))</f>
        <v xml:space="preserve"> </v>
      </c>
    </row>
    <row r="262" spans="7:11" x14ac:dyDescent="0.25">
      <c r="G262" s="37"/>
      <c r="H262" s="37"/>
      <c r="K262" s="25" t="str">
        <f>IF(F262=""," ",(_xlfn.CONCAT(F262,VLOOKUP(F262,Dropdowns!$N$2:$R$19,2,1),G262,VLOOKUP(F262,Dropdowns!$N$2:$R$19,3,1),H262,VLOOKUP(F262,Dropdowns!$N$2:$R$19,4,1),I262,Dropdowns!R259,J262)))</f>
        <v xml:space="preserve"> </v>
      </c>
    </row>
    <row r="263" spans="7:11" x14ac:dyDescent="0.25">
      <c r="G263" s="37"/>
      <c r="H263" s="37"/>
      <c r="K263" s="25" t="str">
        <f>IF(F263=""," ",(_xlfn.CONCAT(F263,VLOOKUP(F263,Dropdowns!$N$2:$R$19,2,1),G263,VLOOKUP(F263,Dropdowns!$N$2:$R$19,3,1),H263,VLOOKUP(F263,Dropdowns!$N$2:$R$19,4,1),I263,Dropdowns!R260,J263)))</f>
        <v xml:space="preserve"> </v>
      </c>
    </row>
    <row r="264" spans="7:11" x14ac:dyDescent="0.25">
      <c r="G264" s="37"/>
      <c r="H264" s="37"/>
      <c r="K264" s="25" t="str">
        <f>IF(F264=""," ",(_xlfn.CONCAT(F264,VLOOKUP(F264,Dropdowns!$N$2:$R$19,2,1),G264,VLOOKUP(F264,Dropdowns!$N$2:$R$19,3,1),H264,VLOOKUP(F264,Dropdowns!$N$2:$R$19,4,1),I264,Dropdowns!R261,J264)))</f>
        <v xml:space="preserve"> </v>
      </c>
    </row>
    <row r="265" spans="7:11" x14ac:dyDescent="0.25">
      <c r="G265" s="37"/>
      <c r="H265" s="37"/>
      <c r="K265" s="25" t="str">
        <f>IF(F265=""," ",(_xlfn.CONCAT(F265,VLOOKUP(F265,Dropdowns!$N$2:$R$19,2,1),G265,VLOOKUP(F265,Dropdowns!$N$2:$R$19,3,1),H265,VLOOKUP(F265,Dropdowns!$N$2:$R$19,4,1),I265,Dropdowns!R262,J265)))</f>
        <v xml:space="preserve"> </v>
      </c>
    </row>
    <row r="266" spans="7:11" x14ac:dyDescent="0.25">
      <c r="G266" s="37"/>
      <c r="H266" s="37"/>
      <c r="K266" s="25" t="str">
        <f>IF(F266=""," ",(_xlfn.CONCAT(F266,VLOOKUP(F266,Dropdowns!$N$2:$R$19,2,1),G266,VLOOKUP(F266,Dropdowns!$N$2:$R$19,3,1),H266,VLOOKUP(F266,Dropdowns!$N$2:$R$19,4,1),I266,Dropdowns!R263,J266)))</f>
        <v xml:space="preserve"> </v>
      </c>
    </row>
    <row r="267" spans="7:11" x14ac:dyDescent="0.25">
      <c r="G267" s="37"/>
      <c r="H267" s="37"/>
      <c r="K267" s="25" t="str">
        <f>IF(F267=""," ",(_xlfn.CONCAT(F267,VLOOKUP(F267,Dropdowns!$N$2:$R$19,2,1),G267,VLOOKUP(F267,Dropdowns!$N$2:$R$19,3,1),H267,VLOOKUP(F267,Dropdowns!$N$2:$R$19,4,1),I267,Dropdowns!R264,J267)))</f>
        <v xml:space="preserve"> </v>
      </c>
    </row>
    <row r="268" spans="7:11" x14ac:dyDescent="0.25">
      <c r="G268" s="37"/>
      <c r="H268" s="37"/>
      <c r="K268" s="25" t="str">
        <f>IF(F268=""," ",(_xlfn.CONCAT(F268,VLOOKUP(F268,Dropdowns!$N$2:$R$19,2,1),G268,VLOOKUP(F268,Dropdowns!$N$2:$R$19,3,1),H268,VLOOKUP(F268,Dropdowns!$N$2:$R$19,4,1),I268,Dropdowns!R265,J268)))</f>
        <v xml:space="preserve"> </v>
      </c>
    </row>
    <row r="269" spans="7:11" x14ac:dyDescent="0.25">
      <c r="G269" s="37"/>
      <c r="H269" s="37"/>
      <c r="K269" s="25" t="str">
        <f>IF(F269=""," ",(_xlfn.CONCAT(F269,VLOOKUP(F269,Dropdowns!$N$2:$R$19,2,1),G269,VLOOKUP(F269,Dropdowns!$N$2:$R$19,3,1),H269,VLOOKUP(F269,Dropdowns!$N$2:$R$19,4,1),I269,Dropdowns!R266,J269)))</f>
        <v xml:space="preserve"> </v>
      </c>
    </row>
    <row r="270" spans="7:11" x14ac:dyDescent="0.25">
      <c r="G270" s="37"/>
      <c r="H270" s="37"/>
      <c r="K270" s="25" t="str">
        <f>IF(F270=""," ",(_xlfn.CONCAT(F270,VLOOKUP(F270,Dropdowns!$N$2:$R$19,2,1),G270,VLOOKUP(F270,Dropdowns!$N$2:$R$19,3,1),H270,VLOOKUP(F270,Dropdowns!$N$2:$R$19,4,1),I270,Dropdowns!R267,J270)))</f>
        <v xml:space="preserve"> </v>
      </c>
    </row>
    <row r="271" spans="7:11" x14ac:dyDescent="0.25">
      <c r="G271" s="37"/>
      <c r="H271" s="37"/>
      <c r="K271" s="25" t="str">
        <f>IF(F271=""," ",(_xlfn.CONCAT(F271,VLOOKUP(F271,Dropdowns!$N$2:$R$19,2,1),G271,VLOOKUP(F271,Dropdowns!$N$2:$R$19,3,1),H271,VLOOKUP(F271,Dropdowns!$N$2:$R$19,4,1),I271,Dropdowns!R268,J271)))</f>
        <v xml:space="preserve"> </v>
      </c>
    </row>
    <row r="272" spans="7:11" x14ac:dyDescent="0.25">
      <c r="G272" s="37"/>
      <c r="H272" s="37"/>
      <c r="K272" s="25" t="str">
        <f>IF(F272=""," ",(_xlfn.CONCAT(F272,VLOOKUP(F272,Dropdowns!$N$2:$R$19,2,1),G272,VLOOKUP(F272,Dropdowns!$N$2:$R$19,3,1),H272,VLOOKUP(F272,Dropdowns!$N$2:$R$19,4,1),I272,Dropdowns!R269,J272)))</f>
        <v xml:space="preserve"> </v>
      </c>
    </row>
    <row r="273" spans="7:11" x14ac:dyDescent="0.25">
      <c r="G273" s="37"/>
      <c r="H273" s="37"/>
      <c r="K273" s="25" t="str">
        <f>IF(F273=""," ",(_xlfn.CONCAT(F273,VLOOKUP(F273,Dropdowns!$N$2:$R$19,2,1),G273,VLOOKUP(F273,Dropdowns!$N$2:$R$19,3,1),H273,VLOOKUP(F273,Dropdowns!$N$2:$R$19,4,1),I273,Dropdowns!R270,J273)))</f>
        <v xml:space="preserve"> </v>
      </c>
    </row>
    <row r="274" spans="7:11" x14ac:dyDescent="0.25">
      <c r="G274" s="37"/>
      <c r="H274" s="37"/>
      <c r="K274" s="25" t="str">
        <f>IF(F274=""," ",(_xlfn.CONCAT(F274,VLOOKUP(F274,Dropdowns!$N$2:$R$19,2,1),G274,VLOOKUP(F274,Dropdowns!$N$2:$R$19,3,1),H274,VLOOKUP(F274,Dropdowns!$N$2:$R$19,4,1),I274,Dropdowns!R271,J274)))</f>
        <v xml:space="preserve"> </v>
      </c>
    </row>
    <row r="275" spans="7:11" x14ac:dyDescent="0.25">
      <c r="G275" s="37"/>
      <c r="H275" s="37"/>
      <c r="K275" s="25" t="str">
        <f>IF(F275=""," ",(_xlfn.CONCAT(F275,VLOOKUP(F275,Dropdowns!$N$2:$R$19,2,1),G275,VLOOKUP(F275,Dropdowns!$N$2:$R$19,3,1),H275,VLOOKUP(F275,Dropdowns!$N$2:$R$19,4,1),I275,Dropdowns!R272,J275)))</f>
        <v xml:space="preserve"> </v>
      </c>
    </row>
    <row r="276" spans="7:11" x14ac:dyDescent="0.25">
      <c r="G276" s="37"/>
      <c r="H276" s="37"/>
      <c r="K276" s="25" t="str">
        <f>IF(F276=""," ",(_xlfn.CONCAT(F276,VLOOKUP(F276,Dropdowns!$N$2:$R$19,2,1),G276,VLOOKUP(F276,Dropdowns!$N$2:$R$19,3,1),H276,VLOOKUP(F276,Dropdowns!$N$2:$R$19,4,1),I276,Dropdowns!R273,J276)))</f>
        <v xml:space="preserve"> </v>
      </c>
    </row>
    <row r="277" spans="7:11" x14ac:dyDescent="0.25">
      <c r="G277" s="37"/>
      <c r="H277" s="37"/>
      <c r="K277" s="25" t="str">
        <f>IF(F277=""," ",(_xlfn.CONCAT(F277,VLOOKUP(F277,Dropdowns!$N$2:$R$19,2,1),G277,VLOOKUP(F277,Dropdowns!$N$2:$R$19,3,1),H277,VLOOKUP(F277,Dropdowns!$N$2:$R$19,4,1),I277,Dropdowns!R274,J277)))</f>
        <v xml:space="preserve"> </v>
      </c>
    </row>
    <row r="278" spans="7:11" x14ac:dyDescent="0.25">
      <c r="G278" s="37"/>
      <c r="H278" s="37"/>
      <c r="K278" s="25" t="str">
        <f>IF(F278=""," ",(_xlfn.CONCAT(F278,VLOOKUP(F278,Dropdowns!$N$2:$R$19,2,1),G278,VLOOKUP(F278,Dropdowns!$N$2:$R$19,3,1),H278,VLOOKUP(F278,Dropdowns!$N$2:$R$19,4,1),I278,Dropdowns!R275,J278)))</f>
        <v xml:space="preserve"> </v>
      </c>
    </row>
    <row r="279" spans="7:11" x14ac:dyDescent="0.25">
      <c r="G279" s="37"/>
      <c r="H279" s="37"/>
      <c r="K279" s="25" t="str">
        <f>IF(F279=""," ",(_xlfn.CONCAT(F279,VLOOKUP(F279,Dropdowns!$N$2:$R$19,2,1),G279,VLOOKUP(F279,Dropdowns!$N$2:$R$19,3,1),H279,VLOOKUP(F279,Dropdowns!$N$2:$R$19,4,1),I279,Dropdowns!R276,J279)))</f>
        <v xml:space="preserve"> </v>
      </c>
    </row>
    <row r="280" spans="7:11" x14ac:dyDescent="0.25">
      <c r="G280" s="37"/>
      <c r="H280" s="37"/>
      <c r="K280" s="25" t="str">
        <f>IF(F280=""," ",(_xlfn.CONCAT(F280,VLOOKUP(F280,Dropdowns!$N$2:$R$19,2,1),G280,VLOOKUP(F280,Dropdowns!$N$2:$R$19,3,1),H280,VLOOKUP(F280,Dropdowns!$N$2:$R$19,4,1),I280,Dropdowns!R277,J280)))</f>
        <v xml:space="preserve"> </v>
      </c>
    </row>
    <row r="281" spans="7:11" x14ac:dyDescent="0.25">
      <c r="G281" s="37"/>
      <c r="H281" s="37"/>
      <c r="K281" s="25" t="str">
        <f>IF(F281=""," ",(_xlfn.CONCAT(F281,VLOOKUP(F281,Dropdowns!$N$2:$R$19,2,1),G281,VLOOKUP(F281,Dropdowns!$N$2:$R$19,3,1),H281,VLOOKUP(F281,Dropdowns!$N$2:$R$19,4,1),I281,Dropdowns!R278,J281)))</f>
        <v xml:space="preserve"> </v>
      </c>
    </row>
    <row r="282" spans="7:11" x14ac:dyDescent="0.25">
      <c r="G282" s="37"/>
      <c r="H282" s="37"/>
      <c r="K282" s="25" t="str">
        <f>IF(F282=""," ",(_xlfn.CONCAT(F282,VLOOKUP(F282,Dropdowns!$N$2:$R$19,2,1),G282,VLOOKUP(F282,Dropdowns!$N$2:$R$19,3,1),H282,VLOOKUP(F282,Dropdowns!$N$2:$R$19,4,1),I282,Dropdowns!R279,J282)))</f>
        <v xml:space="preserve"> </v>
      </c>
    </row>
    <row r="283" spans="7:11" x14ac:dyDescent="0.25">
      <c r="G283" s="37"/>
      <c r="H283" s="37"/>
      <c r="K283" s="25" t="str">
        <f>IF(F283=""," ",(_xlfn.CONCAT(F283,VLOOKUP(F283,Dropdowns!$N$2:$R$19,2,1),G283,VLOOKUP(F283,Dropdowns!$N$2:$R$19,3,1),H283,VLOOKUP(F283,Dropdowns!$N$2:$R$19,4,1),I283,Dropdowns!R280,J283)))</f>
        <v xml:space="preserve"> </v>
      </c>
    </row>
    <row r="284" spans="7:11" x14ac:dyDescent="0.25">
      <c r="G284" s="37"/>
      <c r="H284" s="37"/>
      <c r="K284" s="25" t="str">
        <f>IF(F284=""," ",(_xlfn.CONCAT(F284,VLOOKUP(F284,Dropdowns!$N$2:$R$19,2,1),G284,VLOOKUP(F284,Dropdowns!$N$2:$R$19,3,1),H284,VLOOKUP(F284,Dropdowns!$N$2:$R$19,4,1),I284,Dropdowns!R281,J284)))</f>
        <v xml:space="preserve"> </v>
      </c>
    </row>
    <row r="285" spans="7:11" x14ac:dyDescent="0.25">
      <c r="G285" s="37"/>
      <c r="H285" s="37"/>
      <c r="K285" s="25" t="str">
        <f>IF(F285=""," ",(_xlfn.CONCAT(F285,VLOOKUP(F285,Dropdowns!$N$2:$R$19,2,1),G285,VLOOKUP(F285,Dropdowns!$N$2:$R$19,3,1),H285,VLOOKUP(F285,Dropdowns!$N$2:$R$19,4,1),I285,Dropdowns!R282,J285)))</f>
        <v xml:space="preserve"> </v>
      </c>
    </row>
    <row r="286" spans="7:11" x14ac:dyDescent="0.25">
      <c r="G286" s="37"/>
      <c r="H286" s="37"/>
      <c r="K286" s="25" t="str">
        <f>IF(F286=""," ",(_xlfn.CONCAT(F286,VLOOKUP(F286,Dropdowns!$N$2:$R$19,2,1),G286,VLOOKUP(F286,Dropdowns!$N$2:$R$19,3,1),H286,VLOOKUP(F286,Dropdowns!$N$2:$R$19,4,1),I286,Dropdowns!R283,J286)))</f>
        <v xml:space="preserve"> </v>
      </c>
    </row>
    <row r="287" spans="7:11" x14ac:dyDescent="0.25">
      <c r="G287" s="37"/>
      <c r="H287" s="37"/>
      <c r="K287" s="25" t="str">
        <f>IF(F287=""," ",(_xlfn.CONCAT(F287,VLOOKUP(F287,Dropdowns!$N$2:$R$19,2,1),G287,VLOOKUP(F287,Dropdowns!$N$2:$R$19,3,1),H287,VLOOKUP(F287,Dropdowns!$N$2:$R$19,4,1),I287,Dropdowns!R284,J287)))</f>
        <v xml:space="preserve"> </v>
      </c>
    </row>
    <row r="288" spans="7:11" x14ac:dyDescent="0.25">
      <c r="G288" s="37"/>
      <c r="H288" s="37"/>
      <c r="K288" s="25" t="str">
        <f>IF(F288=""," ",(_xlfn.CONCAT(F288,VLOOKUP(F288,Dropdowns!$N$2:$R$19,2,1),G288,VLOOKUP(F288,Dropdowns!$N$2:$R$19,3,1),H288,VLOOKUP(F288,Dropdowns!$N$2:$R$19,4,1),I288,Dropdowns!R285,J288)))</f>
        <v xml:space="preserve"> </v>
      </c>
    </row>
    <row r="289" spans="7:11" x14ac:dyDescent="0.25">
      <c r="G289" s="37"/>
      <c r="H289" s="37"/>
      <c r="K289" s="25" t="str">
        <f>IF(F289=""," ",(_xlfn.CONCAT(F289,VLOOKUP(F289,Dropdowns!$N$2:$R$19,2,1),G289,VLOOKUP(F289,Dropdowns!$N$2:$R$19,3,1),H289,VLOOKUP(F289,Dropdowns!$N$2:$R$19,4,1),I289,Dropdowns!R286,J289)))</f>
        <v xml:space="preserve"> </v>
      </c>
    </row>
    <row r="290" spans="7:11" x14ac:dyDescent="0.25">
      <c r="G290" s="37"/>
      <c r="H290" s="37"/>
      <c r="K290" s="25" t="str">
        <f>IF(F290=""," ",(_xlfn.CONCAT(F290,VLOOKUP(F290,Dropdowns!$N$2:$R$19,2,1),G290,VLOOKUP(F290,Dropdowns!$N$2:$R$19,3,1),H290,VLOOKUP(F290,Dropdowns!$N$2:$R$19,4,1),I290,Dropdowns!R287,J290)))</f>
        <v xml:space="preserve"> </v>
      </c>
    </row>
    <row r="291" spans="7:11" x14ac:dyDescent="0.25">
      <c r="G291" s="37"/>
      <c r="H291" s="37"/>
      <c r="K291" s="25" t="str">
        <f>IF(F291=""," ",(_xlfn.CONCAT(F291,VLOOKUP(F291,Dropdowns!$N$2:$R$19,2,1),G291,VLOOKUP(F291,Dropdowns!$N$2:$R$19,3,1),H291,VLOOKUP(F291,Dropdowns!$N$2:$R$19,4,1),I291,Dropdowns!R288,J291)))</f>
        <v xml:space="preserve"> </v>
      </c>
    </row>
    <row r="292" spans="7:11" x14ac:dyDescent="0.25">
      <c r="G292" s="37"/>
      <c r="H292" s="37"/>
      <c r="K292" s="25" t="str">
        <f>IF(F292=""," ",(_xlfn.CONCAT(F292,VLOOKUP(F292,Dropdowns!$N$2:$R$19,2,1),G292,VLOOKUP(F292,Dropdowns!$N$2:$R$19,3,1),H292,VLOOKUP(F292,Dropdowns!$N$2:$R$19,4,1),I292,Dropdowns!R289,J292)))</f>
        <v xml:space="preserve"> </v>
      </c>
    </row>
    <row r="293" spans="7:11" x14ac:dyDescent="0.25">
      <c r="G293" s="37"/>
      <c r="H293" s="37"/>
      <c r="K293" s="25" t="str">
        <f>IF(F293=""," ",(_xlfn.CONCAT(F293,VLOOKUP(F293,Dropdowns!$N$2:$R$19,2,1),G293,VLOOKUP(F293,Dropdowns!$N$2:$R$19,3,1),H293,VLOOKUP(F293,Dropdowns!$N$2:$R$19,4,1),I293,Dropdowns!R290,J293)))</f>
        <v xml:space="preserve"> </v>
      </c>
    </row>
    <row r="294" spans="7:11" x14ac:dyDescent="0.25">
      <c r="G294" s="37"/>
      <c r="H294" s="37"/>
      <c r="K294" s="25" t="str">
        <f>IF(F294=""," ",(_xlfn.CONCAT(F294,VLOOKUP(F294,Dropdowns!$N$2:$R$19,2,1),G294,VLOOKUP(F294,Dropdowns!$N$2:$R$19,3,1),H294,VLOOKUP(F294,Dropdowns!$N$2:$R$19,4,1),I294,Dropdowns!R291,J294)))</f>
        <v xml:space="preserve"> </v>
      </c>
    </row>
    <row r="295" spans="7:11" x14ac:dyDescent="0.25">
      <c r="G295" s="37"/>
      <c r="H295" s="37"/>
      <c r="K295" s="25" t="str">
        <f>IF(F295=""," ",(_xlfn.CONCAT(F295,VLOOKUP(F295,Dropdowns!$N$2:$R$19,2,1),G295,VLOOKUP(F295,Dropdowns!$N$2:$R$19,3,1),H295,VLOOKUP(F295,Dropdowns!$N$2:$R$19,4,1),I295,Dropdowns!R292,J295)))</f>
        <v xml:space="preserve"> </v>
      </c>
    </row>
    <row r="296" spans="7:11" x14ac:dyDescent="0.25">
      <c r="G296" s="37"/>
      <c r="H296" s="37"/>
      <c r="K296" s="25" t="str">
        <f>IF(F296=""," ",(_xlfn.CONCAT(F296,VLOOKUP(F296,Dropdowns!$N$2:$R$19,2,1),G296,VLOOKUP(F296,Dropdowns!$N$2:$R$19,3,1),H296,VLOOKUP(F296,Dropdowns!$N$2:$R$19,4,1),I296,Dropdowns!R293,J296)))</f>
        <v xml:space="preserve"> </v>
      </c>
    </row>
    <row r="297" spans="7:11" x14ac:dyDescent="0.25">
      <c r="G297" s="37"/>
      <c r="H297" s="37"/>
      <c r="K297" s="25" t="str">
        <f>IF(F297=""," ",(_xlfn.CONCAT(F297,VLOOKUP(F297,Dropdowns!$N$2:$R$19,2,1),G297,VLOOKUP(F297,Dropdowns!$N$2:$R$19,3,1),H297,VLOOKUP(F297,Dropdowns!$N$2:$R$19,4,1),I297,Dropdowns!R294,J297)))</f>
        <v xml:space="preserve"> </v>
      </c>
    </row>
    <row r="298" spans="7:11" x14ac:dyDescent="0.25">
      <c r="G298" s="37"/>
      <c r="H298" s="37"/>
      <c r="K298" s="25" t="str">
        <f>IF(F298=""," ",(_xlfn.CONCAT(F298,VLOOKUP(F298,Dropdowns!$N$2:$R$19,2,1),G298,VLOOKUP(F298,Dropdowns!$N$2:$R$19,3,1),H298,VLOOKUP(F298,Dropdowns!$N$2:$R$19,4,1),I298,Dropdowns!R295,J298)))</f>
        <v xml:space="preserve"> </v>
      </c>
    </row>
    <row r="299" spans="7:11" x14ac:dyDescent="0.25">
      <c r="G299" s="37"/>
      <c r="H299" s="37"/>
      <c r="K299" s="25" t="str">
        <f>IF(F299=""," ",(_xlfn.CONCAT(F299,VLOOKUP(F299,Dropdowns!$N$2:$R$19,2,1),G299,VLOOKUP(F299,Dropdowns!$N$2:$R$19,3,1),H299,VLOOKUP(F299,Dropdowns!$N$2:$R$19,4,1),I299,Dropdowns!R296,J299)))</f>
        <v xml:space="preserve"> </v>
      </c>
    </row>
    <row r="300" spans="7:11" x14ac:dyDescent="0.25">
      <c r="G300" s="37"/>
      <c r="H300" s="37"/>
      <c r="K300" s="25" t="str">
        <f>IF(F300=""," ",(_xlfn.CONCAT(F300,VLOOKUP(F300,Dropdowns!$N$2:$R$19,2,1),G300,VLOOKUP(F300,Dropdowns!$N$2:$R$19,3,1),H300,VLOOKUP(F300,Dropdowns!$N$2:$R$19,4,1),I300,Dropdowns!R297,J300)))</f>
        <v xml:space="preserve"> </v>
      </c>
    </row>
    <row r="301" spans="7:11" x14ac:dyDescent="0.25">
      <c r="G301" s="37"/>
      <c r="H301" s="37"/>
      <c r="K301" s="25" t="str">
        <f>IF(F301=""," ",(_xlfn.CONCAT(F301,VLOOKUP(F301,Dropdowns!$N$2:$R$19,2,1),G301,VLOOKUP(F301,Dropdowns!$N$2:$R$19,3,1),H301,VLOOKUP(F301,Dropdowns!$N$2:$R$19,4,1),I301,Dropdowns!R298,J301)))</f>
        <v xml:space="preserve"> </v>
      </c>
    </row>
    <row r="302" spans="7:11" x14ac:dyDescent="0.25">
      <c r="G302" s="37"/>
      <c r="H302" s="37"/>
      <c r="K302" s="10" t="str">
        <f>IF(F302="","",_xlfn.CONCAT(F302, VLOOKUP(CreateGroup!F302,Dropdowns!N302:R320,2,0), G302, VLOOKUP(CreateGroup!F302,Dropdowns!N302:R320,3,0),H302,VLOOKUP(CreateGroup!F302,Dropdowns!N302:R320,4,0),I302, VLOOKUP(CreateGroup!F302,Dropdowns!N302:R320,5,0)))</f>
        <v/>
      </c>
    </row>
    <row r="303" spans="7:11" x14ac:dyDescent="0.25">
      <c r="G303" s="37"/>
      <c r="H303" s="37"/>
      <c r="K303" s="10" t="str">
        <f>IF(F303="","",_xlfn.CONCAT(F303, VLOOKUP(CreateGroup!F303,Dropdowns!N303:R321,2,0), G303, VLOOKUP(CreateGroup!F303,Dropdowns!N303:R321,3,0),H303,VLOOKUP(CreateGroup!F303,Dropdowns!N303:R321,4,0),I303, VLOOKUP(CreateGroup!F303,Dropdowns!N303:R321,5,0)))</f>
        <v/>
      </c>
    </row>
    <row r="304" spans="7:11" x14ac:dyDescent="0.25">
      <c r="G304" s="37"/>
      <c r="H304" s="37"/>
      <c r="K304" s="10" t="str">
        <f>IF(F304="","",_xlfn.CONCAT(F304, VLOOKUP(CreateGroup!F304,Dropdowns!N304:R322,2,0), G304, VLOOKUP(CreateGroup!F304,Dropdowns!N304:R322,3,0),H304,VLOOKUP(CreateGroup!F304,Dropdowns!N304:R322,4,0),I304, VLOOKUP(CreateGroup!F304,Dropdowns!N304:R322,5,0)))</f>
        <v/>
      </c>
    </row>
    <row r="305" spans="7:11" x14ac:dyDescent="0.25">
      <c r="G305" s="37"/>
      <c r="H305" s="37"/>
      <c r="K305" s="10" t="str">
        <f>IF(F305="","",_xlfn.CONCAT(F305, VLOOKUP(CreateGroup!F305,Dropdowns!N305:R323,2,0), G305, VLOOKUP(CreateGroup!F305,Dropdowns!N305:R323,3,0),H305,VLOOKUP(CreateGroup!F305,Dropdowns!N305:R323,4,0),I305, VLOOKUP(CreateGroup!F305,Dropdowns!N305:R323,5,0)))</f>
        <v/>
      </c>
    </row>
    <row r="306" spans="7:11" x14ac:dyDescent="0.25">
      <c r="G306" s="37"/>
      <c r="H306" s="37"/>
    </row>
    <row r="307" spans="7:11" x14ac:dyDescent="0.25">
      <c r="G307" s="37"/>
      <c r="H307" s="37"/>
    </row>
    <row r="308" spans="7:11" x14ac:dyDescent="0.25">
      <c r="G308" s="37"/>
      <c r="H308" s="37"/>
    </row>
    <row r="309" spans="7:11" x14ac:dyDescent="0.25">
      <c r="G309" s="37"/>
      <c r="H309" s="37"/>
    </row>
    <row r="310" spans="7:11" x14ac:dyDescent="0.25">
      <c r="G310" s="37"/>
      <c r="H310" s="37"/>
    </row>
    <row r="311" spans="7:11" x14ac:dyDescent="0.25">
      <c r="G311" s="37"/>
      <c r="H311" s="37"/>
    </row>
    <row r="312" spans="7:11" x14ac:dyDescent="0.25">
      <c r="G312" s="37"/>
      <c r="H312" s="37"/>
    </row>
    <row r="313" spans="7:11" x14ac:dyDescent="0.25">
      <c r="G313" s="37"/>
      <c r="H313" s="37"/>
    </row>
    <row r="314" spans="7:11" x14ac:dyDescent="0.25">
      <c r="G314" s="37"/>
      <c r="H314" s="37"/>
    </row>
    <row r="315" spans="7:11" x14ac:dyDescent="0.25">
      <c r="G315" s="37"/>
      <c r="H315" s="37"/>
    </row>
    <row r="316" spans="7:11" x14ac:dyDescent="0.25">
      <c r="G316" s="37"/>
      <c r="H316" s="37"/>
    </row>
    <row r="317" spans="7:11" x14ac:dyDescent="0.25">
      <c r="G317" s="37"/>
      <c r="H317" s="37"/>
    </row>
    <row r="318" spans="7:11" x14ac:dyDescent="0.25">
      <c r="G318" s="37"/>
      <c r="H318" s="37"/>
    </row>
    <row r="319" spans="7:11" x14ac:dyDescent="0.25">
      <c r="G319" s="37"/>
      <c r="H319" s="37"/>
    </row>
    <row r="320" spans="7:11" x14ac:dyDescent="0.25">
      <c r="G320" s="37"/>
      <c r="H320" s="37"/>
    </row>
    <row r="321" spans="7:8" x14ac:dyDescent="0.25">
      <c r="G321" s="37"/>
      <c r="H321" s="37"/>
    </row>
    <row r="322" spans="7:8" x14ac:dyDescent="0.25">
      <c r="G322" s="37"/>
      <c r="H322" s="37"/>
    </row>
    <row r="323" spans="7:8" x14ac:dyDescent="0.25">
      <c r="G323" s="37"/>
      <c r="H323" s="37"/>
    </row>
    <row r="324" spans="7:8" x14ac:dyDescent="0.25">
      <c r="G324" s="37"/>
      <c r="H324" s="37"/>
    </row>
    <row r="325" spans="7:8" x14ac:dyDescent="0.25">
      <c r="G325" s="37"/>
      <c r="H325" s="37"/>
    </row>
    <row r="326" spans="7:8" x14ac:dyDescent="0.25">
      <c r="G326" s="37"/>
      <c r="H326" s="37"/>
    </row>
    <row r="327" spans="7:8" x14ac:dyDescent="0.25">
      <c r="G327" s="37"/>
      <c r="H327" s="37"/>
    </row>
    <row r="328" spans="7:8" x14ac:dyDescent="0.25">
      <c r="G328" s="37"/>
      <c r="H328" s="37"/>
    </row>
    <row r="329" spans="7:8" x14ac:dyDescent="0.25">
      <c r="G329" s="37"/>
      <c r="H329" s="37"/>
    </row>
    <row r="330" spans="7:8" x14ac:dyDescent="0.25">
      <c r="G330" s="37"/>
      <c r="H330" s="37"/>
    </row>
    <row r="331" spans="7:8" x14ac:dyDescent="0.25">
      <c r="G331" s="37"/>
      <c r="H331" s="37"/>
    </row>
    <row r="332" spans="7:8" x14ac:dyDescent="0.25">
      <c r="G332" s="37"/>
      <c r="H332" s="37"/>
    </row>
    <row r="333" spans="7:8" x14ac:dyDescent="0.25">
      <c r="G333" s="37"/>
      <c r="H333" s="37"/>
    </row>
    <row r="334" spans="7:8" x14ac:dyDescent="0.25">
      <c r="G334" s="37"/>
    </row>
    <row r="335" spans="7:8" x14ac:dyDescent="0.25">
      <c r="G335" s="37"/>
    </row>
    <row r="336" spans="7:8" x14ac:dyDescent="0.25">
      <c r="G336" s="37"/>
    </row>
    <row r="337" spans="7:7" x14ac:dyDescent="0.25">
      <c r="G337" s="37"/>
    </row>
    <row r="338" spans="7:7" x14ac:dyDescent="0.25">
      <c r="G338" s="37"/>
    </row>
    <row r="339" spans="7:7" x14ac:dyDescent="0.25">
      <c r="G339" s="37"/>
    </row>
    <row r="340" spans="7:7" x14ac:dyDescent="0.25">
      <c r="G340" s="37"/>
    </row>
    <row r="341" spans="7:7" x14ac:dyDescent="0.25">
      <c r="G341" s="37"/>
    </row>
    <row r="342" spans="7:7" x14ac:dyDescent="0.25">
      <c r="G342" s="37"/>
    </row>
    <row r="343" spans="7:7" x14ac:dyDescent="0.25">
      <c r="G343" s="37"/>
    </row>
    <row r="344" spans="7:7" x14ac:dyDescent="0.25">
      <c r="G344" s="37"/>
    </row>
    <row r="345" spans="7:7" x14ac:dyDescent="0.25">
      <c r="G345" s="37"/>
    </row>
    <row r="346" spans="7:7" x14ac:dyDescent="0.25">
      <c r="G346" s="37"/>
    </row>
    <row r="347" spans="7:7" x14ac:dyDescent="0.25">
      <c r="G347" s="37"/>
    </row>
    <row r="348" spans="7:7" x14ac:dyDescent="0.25">
      <c r="G348" s="37"/>
    </row>
    <row r="349" spans="7:7" x14ac:dyDescent="0.25">
      <c r="G349" s="37"/>
    </row>
    <row r="350" spans="7:7" x14ac:dyDescent="0.25">
      <c r="G350" s="37"/>
    </row>
    <row r="351" spans="7:7" x14ac:dyDescent="0.25">
      <c r="G351" s="37"/>
    </row>
    <row r="352" spans="7:7" x14ac:dyDescent="0.25">
      <c r="G352" s="37"/>
    </row>
    <row r="353" spans="7:7" x14ac:dyDescent="0.25">
      <c r="G353" s="37"/>
    </row>
    <row r="354" spans="7:7" x14ac:dyDescent="0.25">
      <c r="G354" s="37"/>
    </row>
    <row r="355" spans="7:7" x14ac:dyDescent="0.25">
      <c r="G355" s="37"/>
    </row>
    <row r="356" spans="7:7" x14ac:dyDescent="0.25">
      <c r="G356" s="37"/>
    </row>
    <row r="357" spans="7:7" x14ac:dyDescent="0.25">
      <c r="G357" s="37"/>
    </row>
    <row r="358" spans="7:7" x14ac:dyDescent="0.25">
      <c r="G358" s="37"/>
    </row>
    <row r="359" spans="7:7" x14ac:dyDescent="0.25">
      <c r="G359" s="37"/>
    </row>
    <row r="360" spans="7:7" x14ac:dyDescent="0.25">
      <c r="G360" s="37"/>
    </row>
    <row r="361" spans="7:7" x14ac:dyDescent="0.25">
      <c r="G361" s="37"/>
    </row>
    <row r="362" spans="7:7" x14ac:dyDescent="0.25">
      <c r="G362" s="37"/>
    </row>
    <row r="363" spans="7:7" x14ac:dyDescent="0.25">
      <c r="G363" s="37"/>
    </row>
    <row r="364" spans="7:7" x14ac:dyDescent="0.25">
      <c r="G364" s="37"/>
    </row>
    <row r="365" spans="7:7" x14ac:dyDescent="0.25">
      <c r="G365" s="37"/>
    </row>
    <row r="366" spans="7:7" x14ac:dyDescent="0.25">
      <c r="G366" s="37"/>
    </row>
    <row r="367" spans="7:7" x14ac:dyDescent="0.25">
      <c r="G367" s="37"/>
    </row>
    <row r="368" spans="7:7" x14ac:dyDescent="0.25">
      <c r="G368" s="37"/>
    </row>
    <row r="369" spans="7:7" x14ac:dyDescent="0.25">
      <c r="G369" s="37"/>
    </row>
    <row r="370" spans="7:7" x14ac:dyDescent="0.25">
      <c r="G370" s="37"/>
    </row>
    <row r="371" spans="7:7" x14ac:dyDescent="0.25">
      <c r="G371" s="37"/>
    </row>
    <row r="372" spans="7:7" x14ac:dyDescent="0.25">
      <c r="G372" s="37"/>
    </row>
    <row r="373" spans="7:7" x14ac:dyDescent="0.25">
      <c r="G373" s="37"/>
    </row>
    <row r="374" spans="7:7" x14ac:dyDescent="0.25">
      <c r="G374" s="37"/>
    </row>
    <row r="375" spans="7:7" x14ac:dyDescent="0.25">
      <c r="G375" s="37"/>
    </row>
    <row r="376" spans="7:7" x14ac:dyDescent="0.25">
      <c r="G376" s="37"/>
    </row>
    <row r="377" spans="7:7" x14ac:dyDescent="0.25">
      <c r="G377" s="37"/>
    </row>
    <row r="378" spans="7:7" x14ac:dyDescent="0.25">
      <c r="G378" s="37"/>
    </row>
    <row r="379" spans="7:7" x14ac:dyDescent="0.25">
      <c r="G379" s="37"/>
    </row>
    <row r="380" spans="7:7" x14ac:dyDescent="0.25">
      <c r="G380" s="37"/>
    </row>
    <row r="381" spans="7:7" x14ac:dyDescent="0.25">
      <c r="G381" s="37"/>
    </row>
    <row r="382" spans="7:7" x14ac:dyDescent="0.25">
      <c r="G382" s="37"/>
    </row>
    <row r="383" spans="7:7" x14ac:dyDescent="0.25">
      <c r="G383" s="37"/>
    </row>
    <row r="384" spans="7:7" x14ac:dyDescent="0.25">
      <c r="G384" s="37"/>
    </row>
    <row r="385" spans="7:7" x14ac:dyDescent="0.25">
      <c r="G385" s="37"/>
    </row>
    <row r="386" spans="7:7" x14ac:dyDescent="0.25">
      <c r="G386" s="37"/>
    </row>
    <row r="387" spans="7:7" x14ac:dyDescent="0.25">
      <c r="G387" s="37"/>
    </row>
    <row r="388" spans="7:7" x14ac:dyDescent="0.25">
      <c r="G388" s="37"/>
    </row>
    <row r="389" spans="7:7" x14ac:dyDescent="0.25">
      <c r="G389" s="37"/>
    </row>
    <row r="390" spans="7:7" x14ac:dyDescent="0.25">
      <c r="G390" s="37"/>
    </row>
    <row r="391" spans="7:7" x14ac:dyDescent="0.25">
      <c r="G391" s="37"/>
    </row>
    <row r="392" spans="7:7" x14ac:dyDescent="0.25">
      <c r="G392" s="37"/>
    </row>
    <row r="393" spans="7:7" x14ac:dyDescent="0.25">
      <c r="G393" s="37"/>
    </row>
    <row r="394" spans="7:7" x14ac:dyDescent="0.25">
      <c r="G394" s="37"/>
    </row>
    <row r="395" spans="7:7" x14ac:dyDescent="0.25">
      <c r="G395" s="37"/>
    </row>
    <row r="396" spans="7:7" x14ac:dyDescent="0.25">
      <c r="G396" s="37"/>
    </row>
    <row r="397" spans="7:7" x14ac:dyDescent="0.25">
      <c r="G397" s="37"/>
    </row>
    <row r="398" spans="7:7" x14ac:dyDescent="0.25">
      <c r="G398" s="37"/>
    </row>
    <row r="399" spans="7:7" x14ac:dyDescent="0.25">
      <c r="G399" s="37"/>
    </row>
    <row r="400" spans="7:7" x14ac:dyDescent="0.25">
      <c r="G400" s="37"/>
    </row>
    <row r="401" spans="7:7" x14ac:dyDescent="0.25">
      <c r="G401" s="37"/>
    </row>
    <row r="402" spans="7:7" x14ac:dyDescent="0.25">
      <c r="G402" s="37"/>
    </row>
    <row r="403" spans="7:7" x14ac:dyDescent="0.25">
      <c r="G403" s="37"/>
    </row>
    <row r="404" spans="7:7" x14ac:dyDescent="0.25">
      <c r="G404" s="37"/>
    </row>
    <row r="405" spans="7:7" x14ac:dyDescent="0.25">
      <c r="G405" s="37"/>
    </row>
    <row r="406" spans="7:7" x14ac:dyDescent="0.25">
      <c r="G406" s="37"/>
    </row>
    <row r="407" spans="7:7" x14ac:dyDescent="0.25">
      <c r="G407" s="37"/>
    </row>
    <row r="408" spans="7:7" x14ac:dyDescent="0.25">
      <c r="G408" s="37"/>
    </row>
    <row r="409" spans="7:7" x14ac:dyDescent="0.25">
      <c r="G409" s="37"/>
    </row>
    <row r="410" spans="7:7" x14ac:dyDescent="0.25">
      <c r="G410" s="37"/>
    </row>
    <row r="411" spans="7:7" x14ac:dyDescent="0.25">
      <c r="G411" s="37"/>
    </row>
    <row r="412" spans="7:7" x14ac:dyDescent="0.25">
      <c r="G412" s="37"/>
    </row>
    <row r="413" spans="7:7" x14ac:dyDescent="0.25">
      <c r="G413" s="37"/>
    </row>
    <row r="414" spans="7:7" x14ac:dyDescent="0.25">
      <c r="G414" s="37"/>
    </row>
    <row r="415" spans="7:7" x14ac:dyDescent="0.25">
      <c r="G415" s="37"/>
    </row>
    <row r="416" spans="7:7" x14ac:dyDescent="0.25">
      <c r="G416" s="37"/>
    </row>
    <row r="417" spans="7:7" x14ac:dyDescent="0.25">
      <c r="G417" s="37"/>
    </row>
    <row r="418" spans="7:7" x14ac:dyDescent="0.25">
      <c r="G418" s="37"/>
    </row>
    <row r="419" spans="7:7" x14ac:dyDescent="0.25">
      <c r="G419" s="37"/>
    </row>
    <row r="420" spans="7:7" x14ac:dyDescent="0.25">
      <c r="G420" s="37"/>
    </row>
    <row r="421" spans="7:7" x14ac:dyDescent="0.25">
      <c r="G421" s="37"/>
    </row>
    <row r="422" spans="7:7" x14ac:dyDescent="0.25">
      <c r="G422" s="37"/>
    </row>
    <row r="423" spans="7:7" x14ac:dyDescent="0.25">
      <c r="G423" s="37"/>
    </row>
    <row r="424" spans="7:7" x14ac:dyDescent="0.25">
      <c r="G424" s="37"/>
    </row>
    <row r="425" spans="7:7" x14ac:dyDescent="0.25">
      <c r="G425" s="37"/>
    </row>
    <row r="426" spans="7:7" x14ac:dyDescent="0.25">
      <c r="G426" s="37"/>
    </row>
    <row r="427" spans="7:7" x14ac:dyDescent="0.25">
      <c r="G427" s="37"/>
    </row>
    <row r="428" spans="7:7" x14ac:dyDescent="0.25">
      <c r="G428" s="37"/>
    </row>
    <row r="429" spans="7:7" x14ac:dyDescent="0.25">
      <c r="G429" s="37"/>
    </row>
    <row r="430" spans="7:7" x14ac:dyDescent="0.25">
      <c r="G430" s="37"/>
    </row>
    <row r="431" spans="7:7" x14ac:dyDescent="0.25">
      <c r="G431" s="37"/>
    </row>
    <row r="432" spans="7:7" x14ac:dyDescent="0.25">
      <c r="G432" s="37"/>
    </row>
    <row r="433" spans="7:7" x14ac:dyDescent="0.25">
      <c r="G433" s="37"/>
    </row>
    <row r="434" spans="7:7" x14ac:dyDescent="0.25">
      <c r="G434" s="37"/>
    </row>
    <row r="435" spans="7:7" x14ac:dyDescent="0.25">
      <c r="G435" s="37"/>
    </row>
    <row r="436" spans="7:7" x14ac:dyDescent="0.25">
      <c r="G436" s="37"/>
    </row>
    <row r="437" spans="7:7" x14ac:dyDescent="0.25">
      <c r="G437" s="37"/>
    </row>
    <row r="438" spans="7:7" x14ac:dyDescent="0.25">
      <c r="G438" s="37"/>
    </row>
    <row r="439" spans="7:7" x14ac:dyDescent="0.25">
      <c r="G439" s="37"/>
    </row>
    <row r="440" spans="7:7" x14ac:dyDescent="0.25">
      <c r="G440" s="37"/>
    </row>
    <row r="441" spans="7:7" x14ac:dyDescent="0.25">
      <c r="G441" s="37"/>
    </row>
    <row r="442" spans="7:7" x14ac:dyDescent="0.25">
      <c r="G442" s="37"/>
    </row>
    <row r="443" spans="7:7" x14ac:dyDescent="0.25">
      <c r="G443" s="37"/>
    </row>
    <row r="444" spans="7:7" x14ac:dyDescent="0.25">
      <c r="G444" s="37"/>
    </row>
    <row r="445" spans="7:7" x14ac:dyDescent="0.25">
      <c r="G445" s="37"/>
    </row>
    <row r="446" spans="7:7" x14ac:dyDescent="0.25">
      <c r="G446" s="37"/>
    </row>
    <row r="447" spans="7:7" x14ac:dyDescent="0.25">
      <c r="G447" s="37"/>
    </row>
    <row r="448" spans="7:7" x14ac:dyDescent="0.25">
      <c r="G448" s="37"/>
    </row>
    <row r="449" spans="7:7" x14ac:dyDescent="0.25">
      <c r="G449" s="37"/>
    </row>
    <row r="450" spans="7:7" x14ac:dyDescent="0.25">
      <c r="G450" s="37"/>
    </row>
    <row r="451" spans="7:7" x14ac:dyDescent="0.25">
      <c r="G451" s="37"/>
    </row>
    <row r="452" spans="7:7" x14ac:dyDescent="0.25">
      <c r="G452" s="37"/>
    </row>
    <row r="453" spans="7:7" x14ac:dyDescent="0.25">
      <c r="G453" s="37"/>
    </row>
    <row r="454" spans="7:7" x14ac:dyDescent="0.25">
      <c r="G454" s="37"/>
    </row>
    <row r="455" spans="7:7" x14ac:dyDescent="0.25">
      <c r="G455" s="37"/>
    </row>
    <row r="456" spans="7:7" x14ac:dyDescent="0.25">
      <c r="G456" s="37"/>
    </row>
    <row r="457" spans="7:7" x14ac:dyDescent="0.25">
      <c r="G457" s="37"/>
    </row>
    <row r="458" spans="7:7" x14ac:dyDescent="0.25">
      <c r="G458" s="37"/>
    </row>
    <row r="459" spans="7:7" x14ac:dyDescent="0.25">
      <c r="G459" s="37"/>
    </row>
    <row r="460" spans="7:7" x14ac:dyDescent="0.25">
      <c r="G460" s="37"/>
    </row>
    <row r="461" spans="7:7" x14ac:dyDescent="0.25">
      <c r="G461" s="37"/>
    </row>
    <row r="462" spans="7:7" x14ac:dyDescent="0.25">
      <c r="G462" s="37"/>
    </row>
    <row r="463" spans="7:7" x14ac:dyDescent="0.25">
      <c r="G463" s="37"/>
    </row>
    <row r="464" spans="7:7" x14ac:dyDescent="0.25">
      <c r="G464" s="37"/>
    </row>
    <row r="465" spans="7:7" x14ac:dyDescent="0.25">
      <c r="G465" s="37"/>
    </row>
    <row r="466" spans="7:7" x14ac:dyDescent="0.25">
      <c r="G466" s="37"/>
    </row>
    <row r="467" spans="7:7" x14ac:dyDescent="0.25">
      <c r="G467" s="37"/>
    </row>
    <row r="468" spans="7:7" x14ac:dyDescent="0.25">
      <c r="G468" s="37"/>
    </row>
    <row r="469" spans="7:7" x14ac:dyDescent="0.25">
      <c r="G469" s="37"/>
    </row>
    <row r="470" spans="7:7" x14ac:dyDescent="0.25">
      <c r="G470" s="37"/>
    </row>
    <row r="471" spans="7:7" x14ac:dyDescent="0.25">
      <c r="G471" s="37"/>
    </row>
    <row r="472" spans="7:7" x14ac:dyDescent="0.25">
      <c r="G472" s="37"/>
    </row>
    <row r="473" spans="7:7" x14ac:dyDescent="0.25">
      <c r="G473" s="37"/>
    </row>
    <row r="474" spans="7:7" x14ac:dyDescent="0.25">
      <c r="G474" s="37"/>
    </row>
    <row r="475" spans="7:7" x14ac:dyDescent="0.25">
      <c r="G475" s="37"/>
    </row>
    <row r="476" spans="7:7" x14ac:dyDescent="0.25">
      <c r="G476" s="37"/>
    </row>
    <row r="477" spans="7:7" x14ac:dyDescent="0.25">
      <c r="G477" s="37"/>
    </row>
    <row r="478" spans="7:7" x14ac:dyDescent="0.25">
      <c r="G478" s="37"/>
    </row>
    <row r="479" spans="7:7" x14ac:dyDescent="0.25">
      <c r="G479" s="37"/>
    </row>
    <row r="480" spans="7:7" x14ac:dyDescent="0.25">
      <c r="G480" s="37"/>
    </row>
    <row r="481" spans="7:7" x14ac:dyDescent="0.25">
      <c r="G481" s="37"/>
    </row>
    <row r="482" spans="7:7" x14ac:dyDescent="0.25">
      <c r="G482" s="37"/>
    </row>
    <row r="483" spans="7:7" x14ac:dyDescent="0.25">
      <c r="G483" s="37"/>
    </row>
    <row r="484" spans="7:7" x14ac:dyDescent="0.25">
      <c r="G484" s="37"/>
    </row>
    <row r="485" spans="7:7" x14ac:dyDescent="0.25">
      <c r="G485" s="37"/>
    </row>
    <row r="486" spans="7:7" x14ac:dyDescent="0.25">
      <c r="G486" s="37"/>
    </row>
    <row r="487" spans="7:7" x14ac:dyDescent="0.25">
      <c r="G487" s="37"/>
    </row>
    <row r="488" spans="7:7" x14ac:dyDescent="0.25">
      <c r="G488" s="37"/>
    </row>
    <row r="489" spans="7:7" x14ac:dyDescent="0.25">
      <c r="G489" s="37"/>
    </row>
    <row r="490" spans="7:7" x14ac:dyDescent="0.25">
      <c r="G490" s="37"/>
    </row>
    <row r="491" spans="7:7" x14ac:dyDescent="0.25">
      <c r="G491" s="37"/>
    </row>
    <row r="492" spans="7:7" x14ac:dyDescent="0.25">
      <c r="G492" s="37"/>
    </row>
    <row r="493" spans="7:7" x14ac:dyDescent="0.25">
      <c r="G493" s="37"/>
    </row>
    <row r="494" spans="7:7" x14ac:dyDescent="0.25">
      <c r="G494" s="37"/>
    </row>
    <row r="495" spans="7:7" x14ac:dyDescent="0.25">
      <c r="G495" s="37"/>
    </row>
    <row r="496" spans="7:7" x14ac:dyDescent="0.25">
      <c r="G496" s="37"/>
    </row>
    <row r="497" spans="7:7" x14ac:dyDescent="0.25">
      <c r="G497" s="37"/>
    </row>
    <row r="498" spans="7:7" x14ac:dyDescent="0.25">
      <c r="G498" s="37"/>
    </row>
    <row r="499" spans="7:7" x14ac:dyDescent="0.25">
      <c r="G499" s="37"/>
    </row>
    <row r="500" spans="7:7" x14ac:dyDescent="0.25">
      <c r="G500" s="37"/>
    </row>
    <row r="501" spans="7:7" x14ac:dyDescent="0.25">
      <c r="G501" s="37"/>
    </row>
    <row r="502" spans="7:7" x14ac:dyDescent="0.25">
      <c r="G502" s="37"/>
    </row>
    <row r="503" spans="7:7" x14ac:dyDescent="0.25">
      <c r="G503" s="37"/>
    </row>
    <row r="504" spans="7:7" x14ac:dyDescent="0.25">
      <c r="G504" s="37"/>
    </row>
    <row r="505" spans="7:7" x14ac:dyDescent="0.25">
      <c r="G505" s="37"/>
    </row>
    <row r="506" spans="7:7" x14ac:dyDescent="0.25">
      <c r="G506" s="37"/>
    </row>
    <row r="507" spans="7:7" x14ac:dyDescent="0.25">
      <c r="G507" s="37"/>
    </row>
    <row r="508" spans="7:7" x14ac:dyDescent="0.25">
      <c r="G508" s="37"/>
    </row>
    <row r="509" spans="7:7" x14ac:dyDescent="0.25">
      <c r="G509" s="37"/>
    </row>
    <row r="510" spans="7:7" x14ac:dyDescent="0.25">
      <c r="G510" s="37"/>
    </row>
    <row r="511" spans="7:7" x14ac:dyDescent="0.25">
      <c r="G511" s="37"/>
    </row>
    <row r="512" spans="7:7" x14ac:dyDescent="0.25">
      <c r="G512" s="37"/>
    </row>
    <row r="513" spans="7:7" x14ac:dyDescent="0.25">
      <c r="G513" s="37"/>
    </row>
    <row r="514" spans="7:7" x14ac:dyDescent="0.25">
      <c r="G514" s="37"/>
    </row>
    <row r="515" spans="7:7" x14ac:dyDescent="0.25">
      <c r="G515" s="37"/>
    </row>
    <row r="516" spans="7:7" x14ac:dyDescent="0.25">
      <c r="G516" s="37"/>
    </row>
    <row r="517" spans="7:7" x14ac:dyDescent="0.25">
      <c r="G517" s="37"/>
    </row>
    <row r="518" spans="7:7" x14ac:dyDescent="0.25">
      <c r="G518" s="37"/>
    </row>
    <row r="519" spans="7:7" x14ac:dyDescent="0.25">
      <c r="G519" s="37"/>
    </row>
    <row r="520" spans="7:7" x14ac:dyDescent="0.25">
      <c r="G520" s="37"/>
    </row>
    <row r="521" spans="7:7" x14ac:dyDescent="0.25">
      <c r="G521" s="37"/>
    </row>
    <row r="522" spans="7:7" x14ac:dyDescent="0.25">
      <c r="G522" s="37"/>
    </row>
    <row r="523" spans="7:7" x14ac:dyDescent="0.25">
      <c r="G523" s="37"/>
    </row>
    <row r="524" spans="7:7" x14ac:dyDescent="0.25">
      <c r="G524" s="37"/>
    </row>
    <row r="525" spans="7:7" x14ac:dyDescent="0.25">
      <c r="G525" s="37"/>
    </row>
    <row r="526" spans="7:7" x14ac:dyDescent="0.25">
      <c r="G526" s="37"/>
    </row>
    <row r="527" spans="7:7" x14ac:dyDescent="0.25">
      <c r="G527" s="37"/>
    </row>
    <row r="528" spans="7:7" x14ac:dyDescent="0.25">
      <c r="G528" s="37"/>
    </row>
    <row r="529" spans="7:7" x14ac:dyDescent="0.25">
      <c r="G529" s="37"/>
    </row>
    <row r="530" spans="7:7" x14ac:dyDescent="0.25">
      <c r="G530" s="37"/>
    </row>
    <row r="531" spans="7:7" x14ac:dyDescent="0.25">
      <c r="G531" s="37"/>
    </row>
    <row r="532" spans="7:7" x14ac:dyDescent="0.25">
      <c r="G532" s="37"/>
    </row>
    <row r="533" spans="7:7" x14ac:dyDescent="0.25">
      <c r="G533" s="37"/>
    </row>
    <row r="534" spans="7:7" x14ac:dyDescent="0.25">
      <c r="G534" s="37"/>
    </row>
    <row r="535" spans="7:7" x14ac:dyDescent="0.25">
      <c r="G535" s="37"/>
    </row>
    <row r="536" spans="7:7" x14ac:dyDescent="0.25">
      <c r="G536" s="37"/>
    </row>
    <row r="537" spans="7:7" x14ac:dyDescent="0.25">
      <c r="G537" s="37"/>
    </row>
    <row r="538" spans="7:7" x14ac:dyDescent="0.25">
      <c r="G538" s="37"/>
    </row>
    <row r="539" spans="7:7" x14ac:dyDescent="0.25">
      <c r="G539" s="37"/>
    </row>
    <row r="540" spans="7:7" x14ac:dyDescent="0.25">
      <c r="G540" s="37"/>
    </row>
    <row r="541" spans="7:7" x14ac:dyDescent="0.25">
      <c r="G541" s="37"/>
    </row>
    <row r="542" spans="7:7" x14ac:dyDescent="0.25">
      <c r="G542" s="37"/>
    </row>
    <row r="543" spans="7:7" x14ac:dyDescent="0.25">
      <c r="G543" s="37"/>
    </row>
    <row r="544" spans="7:7" x14ac:dyDescent="0.25">
      <c r="G544" s="37"/>
    </row>
    <row r="545" spans="7:7" x14ac:dyDescent="0.25">
      <c r="G545" s="37"/>
    </row>
    <row r="546" spans="7:7" x14ac:dyDescent="0.25">
      <c r="G546" s="37"/>
    </row>
    <row r="547" spans="7:7" x14ac:dyDescent="0.25">
      <c r="G547" s="37"/>
    </row>
    <row r="548" spans="7:7" x14ac:dyDescent="0.25">
      <c r="G548" s="37"/>
    </row>
    <row r="549" spans="7:7" x14ac:dyDescent="0.25">
      <c r="G549" s="37"/>
    </row>
    <row r="550" spans="7:7" x14ac:dyDescent="0.25">
      <c r="G550" s="37"/>
    </row>
    <row r="551" spans="7:7" x14ac:dyDescent="0.25">
      <c r="G551" s="37"/>
    </row>
    <row r="552" spans="7:7" x14ac:dyDescent="0.25">
      <c r="G552" s="37"/>
    </row>
    <row r="553" spans="7:7" x14ac:dyDescent="0.25">
      <c r="G553" s="37"/>
    </row>
    <row r="554" spans="7:7" x14ac:dyDescent="0.25">
      <c r="G554" s="37"/>
    </row>
    <row r="555" spans="7:7" x14ac:dyDescent="0.25">
      <c r="G555" s="37"/>
    </row>
    <row r="556" spans="7:7" x14ac:dyDescent="0.25">
      <c r="G556" s="37"/>
    </row>
    <row r="557" spans="7:7" x14ac:dyDescent="0.25">
      <c r="G557" s="37"/>
    </row>
    <row r="558" spans="7:7" x14ac:dyDescent="0.25">
      <c r="G558" s="37"/>
    </row>
    <row r="559" spans="7:7" x14ac:dyDescent="0.25">
      <c r="G559" s="37"/>
    </row>
    <row r="560" spans="7:7" x14ac:dyDescent="0.25">
      <c r="G560" s="37"/>
    </row>
    <row r="561" spans="7:7" x14ac:dyDescent="0.25">
      <c r="G561" s="37"/>
    </row>
    <row r="562" spans="7:7" x14ac:dyDescent="0.25">
      <c r="G562" s="37"/>
    </row>
    <row r="563" spans="7:7" x14ac:dyDescent="0.25">
      <c r="G563" s="37"/>
    </row>
    <row r="564" spans="7:7" x14ac:dyDescent="0.25">
      <c r="G564" s="37"/>
    </row>
    <row r="565" spans="7:7" x14ac:dyDescent="0.25">
      <c r="G565" s="37"/>
    </row>
    <row r="566" spans="7:7" x14ac:dyDescent="0.25">
      <c r="G566" s="37"/>
    </row>
    <row r="567" spans="7:7" x14ac:dyDescent="0.25">
      <c r="G567" s="37"/>
    </row>
    <row r="568" spans="7:7" x14ac:dyDescent="0.25">
      <c r="G568" s="37"/>
    </row>
    <row r="569" spans="7:7" x14ac:dyDescent="0.25">
      <c r="G569" s="37"/>
    </row>
    <row r="570" spans="7:7" x14ac:dyDescent="0.25">
      <c r="G570" s="37"/>
    </row>
    <row r="571" spans="7:7" x14ac:dyDescent="0.25">
      <c r="G571" s="37"/>
    </row>
    <row r="572" spans="7:7" x14ac:dyDescent="0.25">
      <c r="G572" s="37"/>
    </row>
    <row r="573" spans="7:7" x14ac:dyDescent="0.25">
      <c r="G573" s="37"/>
    </row>
    <row r="574" spans="7:7" x14ac:dyDescent="0.25">
      <c r="G574" s="37"/>
    </row>
    <row r="575" spans="7:7" x14ac:dyDescent="0.25">
      <c r="G575" s="37"/>
    </row>
    <row r="576" spans="7:7" x14ac:dyDescent="0.25">
      <c r="G576" s="37"/>
    </row>
    <row r="577" spans="7:7" x14ac:dyDescent="0.25">
      <c r="G577" s="37"/>
    </row>
    <row r="578" spans="7:7" x14ac:dyDescent="0.25">
      <c r="G578" s="37"/>
    </row>
    <row r="579" spans="7:7" x14ac:dyDescent="0.25">
      <c r="G579" s="37"/>
    </row>
    <row r="580" spans="7:7" x14ac:dyDescent="0.25">
      <c r="G580" s="37"/>
    </row>
    <row r="581" spans="7:7" x14ac:dyDescent="0.25">
      <c r="G581" s="37"/>
    </row>
    <row r="582" spans="7:7" x14ac:dyDescent="0.25">
      <c r="G582" s="37"/>
    </row>
    <row r="583" spans="7:7" x14ac:dyDescent="0.25">
      <c r="G583" s="37"/>
    </row>
    <row r="584" spans="7:7" x14ac:dyDescent="0.25">
      <c r="G584" s="37"/>
    </row>
    <row r="585" spans="7:7" x14ac:dyDescent="0.25">
      <c r="G585" s="37"/>
    </row>
    <row r="586" spans="7:7" x14ac:dyDescent="0.25">
      <c r="G586" s="37"/>
    </row>
    <row r="587" spans="7:7" x14ac:dyDescent="0.25">
      <c r="G587" s="37"/>
    </row>
    <row r="588" spans="7:7" x14ac:dyDescent="0.25">
      <c r="G588" s="37"/>
    </row>
    <row r="589" spans="7:7" x14ac:dyDescent="0.25">
      <c r="G589" s="37"/>
    </row>
    <row r="590" spans="7:7" x14ac:dyDescent="0.25">
      <c r="G590" s="37"/>
    </row>
    <row r="591" spans="7:7" x14ac:dyDescent="0.25">
      <c r="G591" s="37"/>
    </row>
    <row r="592" spans="7:7" x14ac:dyDescent="0.25">
      <c r="G592" s="37"/>
    </row>
    <row r="593" spans="7:7" x14ac:dyDescent="0.25">
      <c r="G593" s="37"/>
    </row>
    <row r="594" spans="7:7" x14ac:dyDescent="0.25">
      <c r="G594" s="37"/>
    </row>
    <row r="595" spans="7:7" x14ac:dyDescent="0.25">
      <c r="G595" s="37"/>
    </row>
    <row r="596" spans="7:7" x14ac:dyDescent="0.25">
      <c r="G596" s="37"/>
    </row>
    <row r="597" spans="7:7" x14ac:dyDescent="0.25">
      <c r="G597" s="37"/>
    </row>
    <row r="598" spans="7:7" x14ac:dyDescent="0.25">
      <c r="G598" s="37"/>
    </row>
    <row r="599" spans="7:7" x14ac:dyDescent="0.25">
      <c r="G599" s="37"/>
    </row>
    <row r="600" spans="7:7" x14ac:dyDescent="0.25">
      <c r="G600" s="37"/>
    </row>
    <row r="601" spans="7:7" x14ac:dyDescent="0.25">
      <c r="G601" s="37"/>
    </row>
    <row r="602" spans="7:7" x14ac:dyDescent="0.25">
      <c r="G602" s="37"/>
    </row>
    <row r="603" spans="7:7" x14ac:dyDescent="0.25">
      <c r="G603" s="37"/>
    </row>
    <row r="604" spans="7:7" x14ac:dyDescent="0.25">
      <c r="G604" s="37"/>
    </row>
    <row r="605" spans="7:7" x14ac:dyDescent="0.25">
      <c r="G605" s="37"/>
    </row>
    <row r="606" spans="7:7" x14ac:dyDescent="0.25">
      <c r="G606" s="37"/>
    </row>
    <row r="607" spans="7:7" x14ac:dyDescent="0.25">
      <c r="G607" s="37"/>
    </row>
    <row r="608" spans="7:7" x14ac:dyDescent="0.25">
      <c r="G608" s="37"/>
    </row>
    <row r="609" spans="7:7" x14ac:dyDescent="0.25">
      <c r="G609" s="37"/>
    </row>
    <row r="610" spans="7:7" x14ac:dyDescent="0.25">
      <c r="G610" s="37"/>
    </row>
    <row r="611" spans="7:7" x14ac:dyDescent="0.25">
      <c r="G611" s="37"/>
    </row>
    <row r="612" spans="7:7" x14ac:dyDescent="0.25">
      <c r="G612" s="37"/>
    </row>
    <row r="613" spans="7:7" x14ac:dyDescent="0.25">
      <c r="G613" s="37"/>
    </row>
    <row r="614" spans="7:7" x14ac:dyDescent="0.25">
      <c r="G614" s="37"/>
    </row>
    <row r="615" spans="7:7" x14ac:dyDescent="0.25">
      <c r="G615" s="37"/>
    </row>
    <row r="616" spans="7:7" x14ac:dyDescent="0.25">
      <c r="G616" s="37"/>
    </row>
    <row r="617" spans="7:7" x14ac:dyDescent="0.25">
      <c r="G617" s="37"/>
    </row>
    <row r="618" spans="7:7" x14ac:dyDescent="0.25">
      <c r="G618" s="37"/>
    </row>
    <row r="619" spans="7:7" x14ac:dyDescent="0.25">
      <c r="G619" s="37"/>
    </row>
    <row r="620" spans="7:7" x14ac:dyDescent="0.25">
      <c r="G620" s="37"/>
    </row>
    <row r="621" spans="7:7" x14ac:dyDescent="0.25">
      <c r="G621" s="37"/>
    </row>
    <row r="622" spans="7:7" x14ac:dyDescent="0.25">
      <c r="G622" s="37"/>
    </row>
    <row r="623" spans="7:7" x14ac:dyDescent="0.25">
      <c r="G623" s="37"/>
    </row>
    <row r="624" spans="7:7" x14ac:dyDescent="0.25">
      <c r="G624" s="37"/>
    </row>
    <row r="625" spans="7:7" x14ac:dyDescent="0.25">
      <c r="G625" s="37"/>
    </row>
    <row r="626" spans="7:7" x14ac:dyDescent="0.25">
      <c r="G626" s="37"/>
    </row>
    <row r="627" spans="7:7" x14ac:dyDescent="0.25">
      <c r="G627" s="37"/>
    </row>
    <row r="628" spans="7:7" x14ac:dyDescent="0.25">
      <c r="G628" s="37"/>
    </row>
    <row r="629" spans="7:7" x14ac:dyDescent="0.25">
      <c r="G629" s="37"/>
    </row>
    <row r="630" spans="7:7" x14ac:dyDescent="0.25">
      <c r="G630" s="37"/>
    </row>
    <row r="631" spans="7:7" x14ac:dyDescent="0.25">
      <c r="G631" s="37"/>
    </row>
    <row r="632" spans="7:7" x14ac:dyDescent="0.25">
      <c r="G632" s="37"/>
    </row>
    <row r="633" spans="7:7" x14ac:dyDescent="0.25">
      <c r="G633" s="37"/>
    </row>
    <row r="634" spans="7:7" x14ac:dyDescent="0.25">
      <c r="G634" s="37"/>
    </row>
    <row r="635" spans="7:7" x14ac:dyDescent="0.25">
      <c r="G635" s="37"/>
    </row>
    <row r="636" spans="7:7" x14ac:dyDescent="0.25">
      <c r="G636" s="37"/>
    </row>
    <row r="637" spans="7:7" x14ac:dyDescent="0.25">
      <c r="G637" s="37"/>
    </row>
    <row r="638" spans="7:7" x14ac:dyDescent="0.25">
      <c r="G638" s="37"/>
    </row>
    <row r="639" spans="7:7" x14ac:dyDescent="0.25">
      <c r="G639" s="37"/>
    </row>
    <row r="640" spans="7:7" x14ac:dyDescent="0.25">
      <c r="G640" s="37"/>
    </row>
    <row r="641" spans="7:7" x14ac:dyDescent="0.25">
      <c r="G641" s="37"/>
    </row>
    <row r="642" spans="7:7" x14ac:dyDescent="0.25">
      <c r="G642" s="37"/>
    </row>
    <row r="643" spans="7:7" x14ac:dyDescent="0.25">
      <c r="G643" s="37"/>
    </row>
    <row r="644" spans="7:7" x14ac:dyDescent="0.25">
      <c r="G644" s="37"/>
    </row>
    <row r="645" spans="7:7" x14ac:dyDescent="0.25">
      <c r="G645" s="37"/>
    </row>
    <row r="646" spans="7:7" x14ac:dyDescent="0.25">
      <c r="G646" s="37"/>
    </row>
    <row r="647" spans="7:7" x14ac:dyDescent="0.25">
      <c r="G647" s="37"/>
    </row>
    <row r="648" spans="7:7" x14ac:dyDescent="0.25">
      <c r="G648" s="37"/>
    </row>
    <row r="649" spans="7:7" x14ac:dyDescent="0.25">
      <c r="G649" s="37"/>
    </row>
    <row r="650" spans="7:7" x14ac:dyDescent="0.25">
      <c r="G650" s="37"/>
    </row>
    <row r="651" spans="7:7" x14ac:dyDescent="0.25">
      <c r="G651" s="37"/>
    </row>
    <row r="652" spans="7:7" x14ac:dyDescent="0.25">
      <c r="G652" s="37"/>
    </row>
    <row r="653" spans="7:7" x14ac:dyDescent="0.25">
      <c r="G653" s="37"/>
    </row>
    <row r="654" spans="7:7" x14ac:dyDescent="0.25">
      <c r="G654" s="37"/>
    </row>
    <row r="655" spans="7:7" x14ac:dyDescent="0.25">
      <c r="G655" s="37"/>
    </row>
    <row r="656" spans="7:7" x14ac:dyDescent="0.25">
      <c r="G656" s="37"/>
    </row>
    <row r="657" spans="7:7" x14ac:dyDescent="0.25">
      <c r="G657" s="37"/>
    </row>
    <row r="658" spans="7:7" x14ac:dyDescent="0.25">
      <c r="G658" s="37"/>
    </row>
    <row r="659" spans="7:7" x14ac:dyDescent="0.25">
      <c r="G659" s="37"/>
    </row>
    <row r="660" spans="7:7" x14ac:dyDescent="0.25">
      <c r="G660" s="37"/>
    </row>
    <row r="661" spans="7:7" x14ac:dyDescent="0.25">
      <c r="G661" s="37"/>
    </row>
    <row r="662" spans="7:7" x14ac:dyDescent="0.25">
      <c r="G662" s="37"/>
    </row>
    <row r="663" spans="7:7" x14ac:dyDescent="0.25">
      <c r="G663" s="37"/>
    </row>
    <row r="664" spans="7:7" x14ac:dyDescent="0.25">
      <c r="G664" s="37"/>
    </row>
    <row r="665" spans="7:7" x14ac:dyDescent="0.25">
      <c r="G665" s="37"/>
    </row>
    <row r="666" spans="7:7" x14ac:dyDescent="0.25">
      <c r="G666" s="37"/>
    </row>
    <row r="667" spans="7:7" x14ac:dyDescent="0.25">
      <c r="G667" s="37"/>
    </row>
    <row r="668" spans="7:7" x14ac:dyDescent="0.25">
      <c r="G668" s="37"/>
    </row>
    <row r="669" spans="7:7" x14ac:dyDescent="0.25">
      <c r="G669" s="37"/>
    </row>
    <row r="670" spans="7:7" x14ac:dyDescent="0.25">
      <c r="G670" s="37"/>
    </row>
    <row r="671" spans="7:7" x14ac:dyDescent="0.25">
      <c r="G671" s="37"/>
    </row>
    <row r="672" spans="7:7" x14ac:dyDescent="0.25">
      <c r="G672" s="37"/>
    </row>
    <row r="673" spans="7:7" x14ac:dyDescent="0.25">
      <c r="G673" s="37"/>
    </row>
    <row r="674" spans="7:7" x14ac:dyDescent="0.25">
      <c r="G674" s="37"/>
    </row>
    <row r="675" spans="7:7" x14ac:dyDescent="0.25">
      <c r="G675" s="37"/>
    </row>
    <row r="676" spans="7:7" x14ac:dyDescent="0.25">
      <c r="G676" s="37"/>
    </row>
    <row r="677" spans="7:7" x14ac:dyDescent="0.25">
      <c r="G677" s="37"/>
    </row>
    <row r="678" spans="7:7" x14ac:dyDescent="0.25">
      <c r="G678" s="37"/>
    </row>
    <row r="679" spans="7:7" x14ac:dyDescent="0.25">
      <c r="G679" s="37"/>
    </row>
    <row r="680" spans="7:7" x14ac:dyDescent="0.25">
      <c r="G680" s="37"/>
    </row>
    <row r="681" spans="7:7" x14ac:dyDescent="0.25">
      <c r="G681" s="37"/>
    </row>
    <row r="682" spans="7:7" x14ac:dyDescent="0.25">
      <c r="G682" s="37"/>
    </row>
    <row r="683" spans="7:7" x14ac:dyDescent="0.25">
      <c r="G683" s="37"/>
    </row>
    <row r="684" spans="7:7" x14ac:dyDescent="0.25">
      <c r="G684" s="37"/>
    </row>
    <row r="685" spans="7:7" x14ac:dyDescent="0.25">
      <c r="G685" s="37"/>
    </row>
    <row r="686" spans="7:7" x14ac:dyDescent="0.25">
      <c r="G686" s="37"/>
    </row>
    <row r="687" spans="7:7" x14ac:dyDescent="0.25">
      <c r="G687" s="37"/>
    </row>
    <row r="688" spans="7:7" x14ac:dyDescent="0.25">
      <c r="G688" s="37"/>
    </row>
    <row r="689" spans="7:7" x14ac:dyDescent="0.25">
      <c r="G689" s="37"/>
    </row>
    <row r="690" spans="7:7" x14ac:dyDescent="0.25">
      <c r="G690" s="37"/>
    </row>
    <row r="691" spans="7:7" x14ac:dyDescent="0.25">
      <c r="G691" s="37"/>
    </row>
    <row r="692" spans="7:7" x14ac:dyDescent="0.25">
      <c r="G692" s="37"/>
    </row>
    <row r="693" spans="7:7" x14ac:dyDescent="0.25">
      <c r="G693" s="37"/>
    </row>
    <row r="694" spans="7:7" x14ac:dyDescent="0.25">
      <c r="G694" s="37"/>
    </row>
    <row r="695" spans="7:7" x14ac:dyDescent="0.25">
      <c r="G695" s="37"/>
    </row>
    <row r="696" spans="7:7" x14ac:dyDescent="0.25">
      <c r="G696" s="37"/>
    </row>
    <row r="697" spans="7:7" x14ac:dyDescent="0.25">
      <c r="G697" s="37"/>
    </row>
    <row r="698" spans="7:7" x14ac:dyDescent="0.25">
      <c r="G698" s="37"/>
    </row>
    <row r="699" spans="7:7" x14ac:dyDescent="0.25">
      <c r="G699" s="37"/>
    </row>
    <row r="700" spans="7:7" x14ac:dyDescent="0.25">
      <c r="G700" s="37"/>
    </row>
    <row r="701" spans="7:7" x14ac:dyDescent="0.25">
      <c r="G701" s="37"/>
    </row>
    <row r="702" spans="7:7" x14ac:dyDescent="0.25">
      <c r="G702" s="37"/>
    </row>
    <row r="703" spans="7:7" x14ac:dyDescent="0.25">
      <c r="G703" s="37"/>
    </row>
    <row r="704" spans="7:7" x14ac:dyDescent="0.25">
      <c r="G704" s="37"/>
    </row>
    <row r="705" spans="7:7" x14ac:dyDescent="0.25">
      <c r="G705" s="37"/>
    </row>
    <row r="706" spans="7:7" x14ac:dyDescent="0.25">
      <c r="G706" s="37"/>
    </row>
    <row r="707" spans="7:7" x14ac:dyDescent="0.25">
      <c r="G707" s="37"/>
    </row>
    <row r="708" spans="7:7" x14ac:dyDescent="0.25">
      <c r="G708" s="37"/>
    </row>
    <row r="709" spans="7:7" x14ac:dyDescent="0.25">
      <c r="G709" s="37"/>
    </row>
    <row r="710" spans="7:7" x14ac:dyDescent="0.25">
      <c r="G710" s="37"/>
    </row>
    <row r="711" spans="7:7" x14ac:dyDescent="0.25">
      <c r="G711" s="37"/>
    </row>
    <row r="712" spans="7:7" x14ac:dyDescent="0.25">
      <c r="G712" s="37"/>
    </row>
  </sheetData>
  <mergeCells count="1">
    <mergeCell ref="A1:K1"/>
  </mergeCells>
  <phoneticPr fontId="3" type="noConversion"/>
  <hyperlinks>
    <hyperlink ref="A1:K1" r:id="rId1" display="***Please note: Creation of Groups in Zurich.com (GITDIR) and Zurich.UAT will now be processed via https://resourceowner.zurich.com***" xr:uid="{C5DAAB1B-E94D-4CF3-A6C5-2C8FF1F1E0DD}"/>
  </hyperlinks>
  <pageMargins left="0.75" right="0.75" top="1" bottom="1" header="0.5" footer="0.5"/>
  <pageSetup paperSize="9" orientation="portrait" r:id="rId2"/>
  <headerFooter alignWithMargins="0">
    <oddFooter>&amp;L&amp;1#&amp;"Calibri"&amp;10&amp;K000000INTERNAL USE ONLY</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58CD7195-3A80-4A0D-BC6C-C80971BA5422}">
          <x14:formula1>
            <xm:f>Dropdowns!$H$2:$H$4</xm:f>
          </x14:formula1>
          <xm:sqref>T4:T88</xm:sqref>
        </x14:dataValidation>
        <x14:dataValidation type="list" allowBlank="1" showInputMessage="1" showErrorMessage="1" xr:uid="{81AA84DB-68F1-4EC8-BCD2-564280E39023}">
          <x14:formula1>
            <xm:f>Dropdowns!$L$2:$L$7</xm:f>
          </x14:formula1>
          <xm:sqref>I4:I158</xm:sqref>
        </x14:dataValidation>
        <x14:dataValidation type="list" allowBlank="1" showInputMessage="1" showErrorMessage="1" xr:uid="{B8E514C6-CAB8-4741-865B-94E90518A616}">
          <x14:formula1>
            <xm:f>Dropdowns!$K$2:$K$69</xm:f>
          </x14:formula1>
          <xm:sqref>H4:H333</xm:sqref>
        </x14:dataValidation>
        <x14:dataValidation type="list" allowBlank="1" showInputMessage="1" showErrorMessage="1" xr:uid="{9B23E812-1C05-4F6A-B0F8-43FEEF307108}">
          <x14:formula1>
            <xm:f>Dropdowns!$N$2:$N$19</xm:f>
          </x14:formula1>
          <xm:sqref>F4:F215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12"/>
  <sheetViews>
    <sheetView tabSelected="1" topLeftCell="M1" zoomScale="85" zoomScaleNormal="85" workbookViewId="0">
      <selection activeCell="S5" sqref="S5"/>
    </sheetView>
  </sheetViews>
  <sheetFormatPr defaultColWidth="11.453125" defaultRowHeight="12.5" x14ac:dyDescent="0.25"/>
  <cols>
    <col min="1" max="1" width="16.6328125" customWidth="1"/>
    <col min="2" max="2" width="48.453125" customWidth="1"/>
    <col min="3" max="3" width="45.54296875" style="10" bestFit="1" customWidth="1"/>
    <col min="4" max="4" width="45.54296875" style="10" customWidth="1"/>
    <col min="5" max="5" width="38.6328125" style="10" customWidth="1"/>
    <col min="6" max="8" width="37.6328125" style="10" customWidth="1"/>
    <col min="9" max="11" width="23.54296875" style="10" customWidth="1"/>
    <col min="12" max="12" width="24.6328125" customWidth="1"/>
    <col min="15" max="15" width="33.36328125" customWidth="1"/>
    <col min="16" max="16" width="30.90625" bestFit="1" customWidth="1"/>
    <col min="17" max="17" width="34.90625" bestFit="1" customWidth="1"/>
    <col min="18" max="19" width="30.90625" customWidth="1"/>
    <col min="20" max="20" width="22.453125" bestFit="1" customWidth="1"/>
    <col min="21" max="21" width="128.36328125" customWidth="1"/>
  </cols>
  <sheetData>
    <row r="1" spans="1:21" ht="102" customHeight="1" x14ac:dyDescent="0.7">
      <c r="A1" s="95" t="s">
        <v>392</v>
      </c>
      <c r="B1" s="95"/>
      <c r="C1" s="95"/>
      <c r="D1" s="95"/>
      <c r="E1" s="95"/>
      <c r="F1" s="95"/>
      <c r="G1" s="95"/>
      <c r="H1" s="95"/>
    </row>
    <row r="2" spans="1:21" ht="37.5" x14ac:dyDescent="0.25">
      <c r="A2" s="5" t="s">
        <v>17</v>
      </c>
      <c r="B2" s="7" t="s">
        <v>1</v>
      </c>
      <c r="C2" s="8" t="s">
        <v>41</v>
      </c>
      <c r="D2" s="8" t="s">
        <v>42</v>
      </c>
      <c r="E2" s="2" t="s">
        <v>29</v>
      </c>
      <c r="F2" s="8" t="s">
        <v>43</v>
      </c>
      <c r="G2" s="8" t="s">
        <v>197</v>
      </c>
      <c r="H2" s="2" t="s">
        <v>79</v>
      </c>
      <c r="I2" s="3" t="s">
        <v>219</v>
      </c>
      <c r="J2" s="3" t="s">
        <v>224</v>
      </c>
      <c r="K2" s="3" t="s">
        <v>36</v>
      </c>
      <c r="L2" s="3" t="s">
        <v>37</v>
      </c>
      <c r="M2" s="3" t="s">
        <v>38</v>
      </c>
      <c r="N2" s="3" t="s">
        <v>38</v>
      </c>
      <c r="O2" s="96" t="s">
        <v>363</v>
      </c>
      <c r="P2" s="34" t="s">
        <v>246</v>
      </c>
      <c r="Q2" s="82" t="s">
        <v>255</v>
      </c>
      <c r="R2" s="82" t="s">
        <v>285</v>
      </c>
      <c r="S2" s="82" t="s">
        <v>264</v>
      </c>
      <c r="T2" s="90" t="s">
        <v>364</v>
      </c>
      <c r="U2" s="77" t="s">
        <v>289</v>
      </c>
    </row>
    <row r="3" spans="1:21" ht="45.65" customHeight="1" x14ac:dyDescent="0.3">
      <c r="A3" s="1" t="s">
        <v>30</v>
      </c>
      <c r="B3" s="1" t="s">
        <v>3</v>
      </c>
      <c r="C3" s="9" t="s">
        <v>33</v>
      </c>
      <c r="D3" s="9" t="s">
        <v>32</v>
      </c>
      <c r="E3" s="9" t="s">
        <v>34</v>
      </c>
      <c r="F3" s="9" t="s">
        <v>31</v>
      </c>
      <c r="G3" s="9" t="s">
        <v>83</v>
      </c>
      <c r="H3" s="8" t="s">
        <v>104</v>
      </c>
      <c r="I3" s="9" t="s">
        <v>217</v>
      </c>
      <c r="J3" s="9" t="s">
        <v>115</v>
      </c>
      <c r="K3" s="9" t="s">
        <v>106</v>
      </c>
      <c r="L3" s="1" t="s">
        <v>10</v>
      </c>
      <c r="M3" s="1"/>
      <c r="N3" s="1"/>
      <c r="O3" s="97"/>
      <c r="P3" s="1" t="s">
        <v>245</v>
      </c>
      <c r="Q3" s="1" t="s">
        <v>288</v>
      </c>
      <c r="R3" s="1" t="s">
        <v>286</v>
      </c>
      <c r="S3" s="1" t="s">
        <v>287</v>
      </c>
      <c r="T3" s="1" t="s">
        <v>390</v>
      </c>
      <c r="U3" s="78" t="s">
        <v>290</v>
      </c>
    </row>
    <row r="4" spans="1:21" ht="14.5" x14ac:dyDescent="0.35">
      <c r="A4" t="s">
        <v>393</v>
      </c>
      <c r="B4" t="s">
        <v>394</v>
      </c>
      <c r="C4" s="10" t="s">
        <v>396</v>
      </c>
      <c r="D4" s="25"/>
      <c r="K4" s="48"/>
      <c r="L4" s="48"/>
      <c r="P4" s="37" t="s">
        <v>377</v>
      </c>
      <c r="Q4" s="89" t="s">
        <v>399</v>
      </c>
      <c r="R4" s="37" t="s">
        <v>361</v>
      </c>
      <c r="S4" s="37" t="s">
        <v>262</v>
      </c>
      <c r="T4" s="37" t="s">
        <v>397</v>
      </c>
      <c r="U4" s="37" t="str">
        <f>IF(P4=""," ",(_xlfn.CONCAT(P4,VLOOKUP(P4,Dropdowns!$N$2:$R$19,2,1),Q4,VLOOKUP(P4,Dropdowns!$N$2:$R$19,3,1),R4,VLOOKUP(P4,Dropdowns!$N$2:$R$19,4,1),S4,Dropdowns!AB2,Dropdowns!R2,T4,)))</f>
        <v>Application:Grants Access to the Application application. Group is owned by the ZNA BU in Production Environment.AppID:APPID-6174</v>
      </c>
    </row>
    <row r="5" spans="1:21" x14ac:dyDescent="0.25">
      <c r="A5" t="s">
        <v>393</v>
      </c>
      <c r="B5" t="s">
        <v>395</v>
      </c>
      <c r="C5" s="10" t="s">
        <v>396</v>
      </c>
      <c r="D5" s="25"/>
      <c r="P5" s="37" t="s">
        <v>377</v>
      </c>
      <c r="Q5" s="37" t="s">
        <v>399</v>
      </c>
      <c r="R5" s="37" t="s">
        <v>361</v>
      </c>
      <c r="S5" s="37" t="s">
        <v>262</v>
      </c>
      <c r="T5" s="37" t="s">
        <v>398</v>
      </c>
      <c r="U5" s="37" t="str">
        <f>IF(P5=""," ",(_xlfn.CONCAT(P5,VLOOKUP(P5,Dropdowns!$N$2:$R$19,2,1),Q5,VLOOKUP(P5,Dropdowns!$N$2:$R$19,3,1),R5,VLOOKUP(P5,Dropdowns!$N$2:$R$19,4,1),S5,Dropdowns!AB3,Dropdowns!R3,T5,)))</f>
        <v>Application:Grants Access to the Application application. Group is owned by the ZNA BU in Production Environment.AppID:APPID-6175</v>
      </c>
    </row>
    <row r="6" spans="1:21" x14ac:dyDescent="0.25">
      <c r="D6" s="25"/>
      <c r="P6" s="37"/>
      <c r="Q6" s="37"/>
      <c r="R6" s="37"/>
      <c r="S6" s="37"/>
      <c r="T6" s="37"/>
      <c r="U6" s="37" t="str">
        <f>IF(P6=""," ",(_xlfn.CONCAT(P6,VLOOKUP(P6,Dropdowns!$N$2:$R$19,2,1),Q6,VLOOKUP(P6,Dropdowns!$N$2:$R$19,3,1),R6,VLOOKUP(P6,Dropdowns!$N$2:$R$19,4,1),S6,Dropdowns!AB4,Dropdowns!R4,T6,)))</f>
        <v xml:space="preserve"> </v>
      </c>
    </row>
    <row r="7" spans="1:21" ht="13" thickBot="1" x14ac:dyDescent="0.3">
      <c r="B7" s="26"/>
      <c r="D7" s="25"/>
      <c r="P7" s="37"/>
      <c r="Q7" s="37"/>
      <c r="R7" s="37"/>
      <c r="S7" s="37"/>
      <c r="U7" s="37" t="str">
        <f>IF(P7=""," ",(_xlfn.CONCAT(P7,VLOOKUP(P7,Dropdowns!$N$2:$R$19,2,1),Q7,VLOOKUP(P7,Dropdowns!$N$2:$R$19,3,1),R7,VLOOKUP(P7,Dropdowns!$N$2:$R$19,4,1),S7,Dropdowns!AB5,Dropdowns!R5,T7,)))</f>
        <v xml:space="preserve"> </v>
      </c>
    </row>
    <row r="8" spans="1:21" ht="13" thickBot="1" x14ac:dyDescent="0.3">
      <c r="B8" s="26"/>
      <c r="D8" s="25"/>
      <c r="P8" s="37"/>
      <c r="Q8" s="37"/>
      <c r="R8" s="37"/>
      <c r="S8" s="37"/>
      <c r="T8" s="37"/>
      <c r="U8" s="37" t="str">
        <f>IF(P8=""," ",(_xlfn.CONCAT(P8,VLOOKUP(P8,Dropdowns!$N$2:$R$19,2,1),Q8,VLOOKUP(P8,Dropdowns!$N$2:$R$19,3,1),R8,VLOOKUP(P8,Dropdowns!$N$2:$R$19,4,1),S8,Dropdowns!AB6,Dropdowns!R6,T8,)))</f>
        <v xml:space="preserve"> </v>
      </c>
    </row>
    <row r="9" spans="1:21" ht="13" thickBot="1" x14ac:dyDescent="0.3">
      <c r="B9" s="26"/>
      <c r="D9" s="25"/>
      <c r="P9" s="37"/>
      <c r="Q9" s="37"/>
      <c r="R9" s="37"/>
      <c r="S9" s="37"/>
      <c r="U9" s="37" t="str">
        <f>IF(P9=""," ",(_xlfn.CONCAT(P9,VLOOKUP(P9,Dropdowns!$N$2:$R$19,2,1),Q9,VLOOKUP(P9,Dropdowns!$N$2:$R$19,3,1),R9,VLOOKUP(P9,Dropdowns!$N$2:$R$19,4,1),S9,Dropdowns!AB7,Dropdowns!R7,T9,)))</f>
        <v xml:space="preserve"> </v>
      </c>
    </row>
    <row r="10" spans="1:21" ht="13" thickBot="1" x14ac:dyDescent="0.3">
      <c r="B10" s="26"/>
      <c r="D10" s="25"/>
      <c r="P10" s="37"/>
      <c r="Q10" s="37"/>
      <c r="R10" s="37"/>
      <c r="S10" s="37"/>
      <c r="U10" s="37" t="str">
        <f>IF(P10=""," ",(_xlfn.CONCAT(P10,VLOOKUP(P10,Dropdowns!$N$2:$R$19,2,1),Q10,VLOOKUP(P10,Dropdowns!$N$2:$R$19,3,1),R10,VLOOKUP(P10,Dropdowns!$N$2:$R$19,4,1),S10,Dropdowns!AB8,Dropdowns!R8,T10,)))</f>
        <v xml:space="preserve"> </v>
      </c>
    </row>
    <row r="11" spans="1:21" ht="13" thickBot="1" x14ac:dyDescent="0.3">
      <c r="B11" s="26"/>
      <c r="D11" s="25"/>
      <c r="P11" s="37"/>
      <c r="Q11" s="37"/>
      <c r="R11" s="37"/>
      <c r="S11" s="37"/>
      <c r="U11" s="37" t="str">
        <f>IF(P11=""," ",(_xlfn.CONCAT(P11,VLOOKUP(P11,Dropdowns!$N$2:$R$19,2,1),Q11,VLOOKUP(P11,Dropdowns!$N$2:$R$19,3,1),R11,VLOOKUP(P11,Dropdowns!$N$2:$R$19,4,1),S11,Dropdowns!AB9,Dropdowns!R9,T11,)))</f>
        <v xml:space="preserve"> </v>
      </c>
    </row>
    <row r="12" spans="1:21" ht="13" thickBot="1" x14ac:dyDescent="0.3">
      <c r="B12" s="26"/>
      <c r="D12" s="25"/>
      <c r="P12" s="37"/>
      <c r="Q12" s="37"/>
      <c r="R12" s="37"/>
      <c r="S12" s="37"/>
      <c r="U12" s="37" t="str">
        <f>IF(P12=""," ",(_xlfn.CONCAT(P12,VLOOKUP(P12,Dropdowns!$N$2:$R$19,2,1),Q12,VLOOKUP(P12,Dropdowns!$N$2:$R$19,3,1),R12,VLOOKUP(P12,Dropdowns!$N$2:$R$19,4,1),S12,Dropdowns!AB10,Dropdowns!R10,T12,)))</f>
        <v xml:space="preserve"> </v>
      </c>
    </row>
    <row r="13" spans="1:21" ht="13" thickBot="1" x14ac:dyDescent="0.3">
      <c r="B13" s="26"/>
      <c r="D13" s="25"/>
      <c r="P13" s="37"/>
      <c r="Q13" s="37"/>
      <c r="R13" s="37"/>
      <c r="S13" s="37"/>
      <c r="U13" s="37" t="str">
        <f>IF(P13=""," ",(_xlfn.CONCAT(P13,VLOOKUP(P13,Dropdowns!$N$2:$R$19,2,1),Q13,VLOOKUP(P13,Dropdowns!$N$2:$R$19,3,1),R13,VLOOKUP(P13,Dropdowns!$N$2:$R$19,4,1),S13,Dropdowns!AB11,Dropdowns!R11,T13,)))</f>
        <v xml:space="preserve"> </v>
      </c>
    </row>
    <row r="14" spans="1:21" ht="13" thickBot="1" x14ac:dyDescent="0.3">
      <c r="B14" s="26"/>
      <c r="D14" s="25"/>
      <c r="P14" s="37"/>
      <c r="Q14" s="37"/>
      <c r="R14" s="37"/>
      <c r="S14" s="37"/>
      <c r="U14" s="37" t="str">
        <f>IF(P14=""," ",(_xlfn.CONCAT(P14,VLOOKUP(P14,Dropdowns!$N$2:$R$19,2,1),Q14,VLOOKUP(P14,Dropdowns!$N$2:$R$19,3,1),R14,VLOOKUP(P14,Dropdowns!$N$2:$R$19,4,1),S14,Dropdowns!AB12,Dropdowns!R12,T14,)))</f>
        <v xml:space="preserve"> </v>
      </c>
    </row>
    <row r="15" spans="1:21" ht="13" thickBot="1" x14ac:dyDescent="0.3">
      <c r="B15" s="26"/>
      <c r="D15" s="25"/>
      <c r="P15" s="37"/>
      <c r="Q15" s="37"/>
      <c r="R15" s="37"/>
      <c r="S15" s="37"/>
      <c r="U15" s="37" t="str">
        <f>IF(P15=""," ",(_xlfn.CONCAT(P15,VLOOKUP(P15,Dropdowns!$N$2:$R$19,2,1),Q15,VLOOKUP(P15,Dropdowns!$N$2:$R$19,3,1),R15,VLOOKUP(P15,Dropdowns!$N$2:$R$19,4,1),S15,Dropdowns!#REF!,Dropdowns!#REF!,T15,)))</f>
        <v xml:space="preserve"> </v>
      </c>
    </row>
    <row r="16" spans="1:21" ht="13" thickBot="1" x14ac:dyDescent="0.3">
      <c r="B16" s="26"/>
      <c r="D16" s="25"/>
      <c r="P16" s="37"/>
      <c r="Q16" s="37"/>
      <c r="R16" s="37"/>
      <c r="S16" s="37"/>
      <c r="U16" s="37" t="str">
        <f>IF(P16=""," ",(_xlfn.CONCAT(P16,VLOOKUP(P16,Dropdowns!$N$2:$R$19,2,1),Q16,VLOOKUP(P16,Dropdowns!$N$2:$R$19,3,1),R16,VLOOKUP(P16,Dropdowns!$N$2:$R$19,4,1),S16,Dropdowns!AB13,Dropdowns!R13,T16,)))</f>
        <v xml:space="preserve"> </v>
      </c>
    </row>
    <row r="17" spans="2:21" ht="13" thickBot="1" x14ac:dyDescent="0.3">
      <c r="B17" s="26"/>
      <c r="D17" s="25"/>
      <c r="P17" s="37"/>
      <c r="Q17" s="37"/>
      <c r="R17" s="37"/>
      <c r="S17" s="37"/>
      <c r="U17" s="37" t="str">
        <f>IF(P17=""," ",(_xlfn.CONCAT(P17,VLOOKUP(P17,Dropdowns!$N$2:$R$19,2,1),Q17,VLOOKUP(P17,Dropdowns!$N$2:$R$19,3,1),R17,VLOOKUP(P17,Dropdowns!$N$2:$R$19,4,1),S17,Dropdowns!AB14,Dropdowns!R14,T17,)))</f>
        <v xml:space="preserve"> </v>
      </c>
    </row>
    <row r="18" spans="2:21" ht="13" thickBot="1" x14ac:dyDescent="0.3">
      <c r="B18" s="26"/>
      <c r="D18" s="25"/>
      <c r="P18" s="37"/>
      <c r="Q18" s="37"/>
      <c r="R18" s="37"/>
      <c r="S18" s="37"/>
      <c r="U18" s="37" t="str">
        <f>IF(P18=""," ",(_xlfn.CONCAT(P18,VLOOKUP(P18,Dropdowns!$N$2:$R$19,2,1),Q18,VLOOKUP(P18,Dropdowns!$N$2:$R$19,3,1),R18,VLOOKUP(P18,Dropdowns!$N$2:$R$19,4,1),S18,Dropdowns!AB15,Dropdowns!R15,T18,)))</f>
        <v xml:space="preserve"> </v>
      </c>
    </row>
    <row r="19" spans="2:21" ht="13" thickBot="1" x14ac:dyDescent="0.3">
      <c r="B19" s="26"/>
      <c r="D19" s="25"/>
      <c r="P19" s="37"/>
      <c r="Q19" s="37"/>
      <c r="R19" s="37"/>
      <c r="S19" s="37"/>
      <c r="U19" s="37" t="str">
        <f>IF(P19=""," ",(_xlfn.CONCAT(P19,VLOOKUP(P19,Dropdowns!$N$2:$R$19,2,1),Q19,VLOOKUP(P19,Dropdowns!$N$2:$R$19,3,1),R19,VLOOKUP(P19,Dropdowns!$N$2:$R$19,4,1),S19,Dropdowns!AB16,Dropdowns!R16,T19,)))</f>
        <v xml:space="preserve"> </v>
      </c>
    </row>
    <row r="20" spans="2:21" x14ac:dyDescent="0.25">
      <c r="P20" s="37"/>
      <c r="Q20" s="37"/>
      <c r="R20" s="37"/>
      <c r="S20" s="37"/>
      <c r="U20" s="37" t="str">
        <f>IF(P20=""," ",(_xlfn.CONCAT(P20,VLOOKUP(P20,Dropdowns!$N$2:$R$19,2,1),Q20,VLOOKUP(P20,Dropdowns!$N$2:$R$19,3,1),R20,VLOOKUP(P20,Dropdowns!$N$2:$R$19,4,1),S20,Dropdowns!AB17,Dropdowns!R17,T20,)))</f>
        <v xml:space="preserve"> </v>
      </c>
    </row>
    <row r="21" spans="2:21" x14ac:dyDescent="0.25">
      <c r="P21" s="37"/>
      <c r="Q21" s="37"/>
      <c r="R21" s="37"/>
      <c r="S21" s="37"/>
      <c r="U21" s="37" t="str">
        <f>IF(P21=""," ",(_xlfn.CONCAT(P21,VLOOKUP(P21,Dropdowns!$N$2:$R$19,2,1),Q21,VLOOKUP(P21,Dropdowns!$N$2:$R$19,3,1),R21,VLOOKUP(P21,Dropdowns!$N$2:$R$19,4,1),S21,Dropdowns!AB18,Dropdowns!R18,T21,)))</f>
        <v xml:space="preserve"> </v>
      </c>
    </row>
    <row r="22" spans="2:21" x14ac:dyDescent="0.25">
      <c r="P22" s="37"/>
      <c r="Q22" s="37"/>
      <c r="R22" s="37"/>
      <c r="S22" s="37"/>
      <c r="U22" s="37" t="str">
        <f>IF(P22=""," ",(_xlfn.CONCAT(P22,VLOOKUP(P22,Dropdowns!$N$2:$R$19,2,1),Q22,VLOOKUP(P22,Dropdowns!$N$2:$R$19,3,1),R22,VLOOKUP(P22,Dropdowns!$N$2:$R$19,4,1),S22,Dropdowns!AB19,Dropdowns!R19,T22,)))</f>
        <v xml:space="preserve"> </v>
      </c>
    </row>
    <row r="23" spans="2:21" x14ac:dyDescent="0.25">
      <c r="P23" s="37"/>
      <c r="Q23" s="37"/>
      <c r="R23" s="37"/>
      <c r="S23" s="37"/>
      <c r="U23" s="37" t="str">
        <f>IF(P23=""," ",(_xlfn.CONCAT(P23,VLOOKUP(P23,Dropdowns!$N$2:$R$19,2,1),Q23,VLOOKUP(P23,Dropdowns!$N$2:$R$19,3,1),R23,VLOOKUP(P23,Dropdowns!$N$2:$R$19,4,1),S23,Dropdowns!AB20,Dropdowns!R20,T23,)))</f>
        <v xml:space="preserve"> </v>
      </c>
    </row>
    <row r="24" spans="2:21" x14ac:dyDescent="0.25">
      <c r="P24" s="37"/>
      <c r="Q24" s="37"/>
      <c r="R24" s="37"/>
      <c r="S24" s="37"/>
      <c r="U24" s="37" t="str">
        <f>IF(P24=""," ",(_xlfn.CONCAT(P24,VLOOKUP(P24,Dropdowns!$N$2:$R$19,2,1),Q24,VLOOKUP(P24,Dropdowns!$N$2:$R$19,3,1),R24,VLOOKUP(P24,Dropdowns!$N$2:$R$19,4,1),S24,Dropdowns!AB21,Dropdowns!R21,T24,)))</f>
        <v xml:space="preserve"> </v>
      </c>
    </row>
    <row r="25" spans="2:21" x14ac:dyDescent="0.25">
      <c r="P25" s="37"/>
      <c r="Q25" s="37"/>
      <c r="R25" s="37"/>
      <c r="S25" s="37"/>
      <c r="U25" s="37" t="str">
        <f>IF(P25=""," ",(_xlfn.CONCAT(P25,VLOOKUP(P25,Dropdowns!$N$2:$R$19,2,1),Q25,VLOOKUP(P25,Dropdowns!$N$2:$R$19,3,1),R25,VLOOKUP(P25,Dropdowns!$N$2:$R$19,4,1),S25,Dropdowns!AB22,Dropdowns!R22,T25,)))</f>
        <v xml:space="preserve"> </v>
      </c>
    </row>
    <row r="26" spans="2:21" x14ac:dyDescent="0.25">
      <c r="P26" s="37"/>
      <c r="Q26" s="37"/>
      <c r="R26" s="37"/>
      <c r="S26" s="37"/>
      <c r="U26" s="37" t="str">
        <f>IF(P26=""," ",(_xlfn.CONCAT(P26,VLOOKUP(P26,Dropdowns!$N$2:$R$19,2,1),Q26,VLOOKUP(P26,Dropdowns!$N$2:$R$19,3,1),R26,VLOOKUP(P26,Dropdowns!$N$2:$R$19,4,1),S26,Dropdowns!AB23,Dropdowns!R23,T26,)))</f>
        <v xml:space="preserve"> </v>
      </c>
    </row>
    <row r="27" spans="2:21" x14ac:dyDescent="0.25">
      <c r="P27" s="37"/>
      <c r="Q27" s="37"/>
      <c r="R27" s="37"/>
      <c r="S27" s="37"/>
      <c r="U27" s="37" t="str">
        <f>IF(P27=""," ",(_xlfn.CONCAT(P27,VLOOKUP(P27,Dropdowns!$N$2:$R$19,2,1),Q27,VLOOKUP(P27,Dropdowns!$N$2:$R$19,3,1),R27,VLOOKUP(P27,Dropdowns!$N$2:$R$19,4,1),S27,Dropdowns!AB24,Dropdowns!R24,T27,)))</f>
        <v xml:space="preserve"> </v>
      </c>
    </row>
    <row r="28" spans="2:21" x14ac:dyDescent="0.25">
      <c r="P28" s="37"/>
      <c r="Q28" s="37"/>
      <c r="R28" s="37"/>
      <c r="S28" s="37"/>
      <c r="U28" s="37" t="str">
        <f>IF(P28=""," ",(_xlfn.CONCAT(P28,VLOOKUP(P28,Dropdowns!$N$2:$R$19,2,1),Q28,VLOOKUP(P28,Dropdowns!$N$2:$R$19,3,1),R28,VLOOKUP(P28,Dropdowns!$N$2:$R$19,4,1),S28,Dropdowns!AB25,Dropdowns!R25,T28,)))</f>
        <v xml:space="preserve"> </v>
      </c>
    </row>
    <row r="29" spans="2:21" x14ac:dyDescent="0.25">
      <c r="P29" s="37"/>
      <c r="Q29" s="37"/>
      <c r="R29" s="37"/>
      <c r="S29" s="37"/>
      <c r="U29" s="37" t="str">
        <f>IF(P29=""," ",(_xlfn.CONCAT(P29,VLOOKUP(P29,Dropdowns!$N$2:$R$19,2,1),Q29,VLOOKUP(P29,Dropdowns!$N$2:$R$19,3,1),R29,VLOOKUP(P29,Dropdowns!$N$2:$R$19,4,1),S29,Dropdowns!AB26,Dropdowns!R26,T29,)))</f>
        <v xml:space="preserve"> </v>
      </c>
    </row>
    <row r="30" spans="2:21" x14ac:dyDescent="0.25">
      <c r="P30" s="37"/>
      <c r="Q30" s="37"/>
      <c r="R30" s="37"/>
      <c r="S30" s="37"/>
      <c r="U30" s="37" t="str">
        <f>IF(P30=""," ",(_xlfn.CONCAT(P30,VLOOKUP(P30,Dropdowns!$N$2:$R$19,2,1),Q30,VLOOKUP(P30,Dropdowns!$N$2:$R$19,3,1),R30,VLOOKUP(P30,Dropdowns!$N$2:$R$19,4,1),S30,Dropdowns!AB27,Dropdowns!R27,T30,)))</f>
        <v xml:space="preserve"> </v>
      </c>
    </row>
    <row r="31" spans="2:21" x14ac:dyDescent="0.25">
      <c r="P31" s="37"/>
      <c r="Q31" s="37"/>
      <c r="R31" s="37"/>
      <c r="S31" s="37"/>
      <c r="U31" s="37" t="str">
        <f>IF(P31=""," ",(_xlfn.CONCAT(P31,VLOOKUP(P31,Dropdowns!$N$2:$R$19,2,1),Q31,VLOOKUP(P31,Dropdowns!$N$2:$R$19,3,1),R31,VLOOKUP(P31,Dropdowns!$N$2:$R$19,4,1),S31,Dropdowns!AB28,Dropdowns!R28,T31,)))</f>
        <v xml:space="preserve"> </v>
      </c>
    </row>
    <row r="32" spans="2:21" x14ac:dyDescent="0.25">
      <c r="P32" s="37"/>
      <c r="Q32" s="37"/>
      <c r="R32" s="37"/>
      <c r="S32" s="37"/>
      <c r="U32" s="37" t="str">
        <f>IF(P32=""," ",(_xlfn.CONCAT(P32,VLOOKUP(P32,Dropdowns!$N$2:$R$19,2,1),Q32,VLOOKUP(P32,Dropdowns!$N$2:$R$19,3,1),R32,VLOOKUP(P32,Dropdowns!$N$2:$R$19,4,1),S32,Dropdowns!AB29,Dropdowns!R29,T32,)))</f>
        <v xml:space="preserve"> </v>
      </c>
    </row>
    <row r="33" spans="16:21" x14ac:dyDescent="0.25">
      <c r="P33" s="37"/>
      <c r="Q33" s="37"/>
      <c r="R33" s="37"/>
      <c r="S33" s="37"/>
      <c r="U33" s="37" t="str">
        <f>IF(P33=""," ",(_xlfn.CONCAT(P33,VLOOKUP(P33,Dropdowns!$N$2:$R$19,2,1),Q33,VLOOKUP(P33,Dropdowns!$N$2:$R$19,3,1),R33,VLOOKUP(P33,Dropdowns!$N$2:$R$19,4,1),S33,Dropdowns!AB30,Dropdowns!R30,T33,)))</f>
        <v xml:space="preserve"> </v>
      </c>
    </row>
    <row r="34" spans="16:21" x14ac:dyDescent="0.25">
      <c r="P34" s="37"/>
      <c r="Q34" s="37"/>
      <c r="R34" s="37"/>
      <c r="S34" s="37"/>
      <c r="U34" s="37" t="str">
        <f>IF(P34=""," ",(_xlfn.CONCAT(P34,VLOOKUP(P34,Dropdowns!$N$2:$R$19,2,1),Q34,VLOOKUP(P34,Dropdowns!$N$2:$R$19,3,1),R34,VLOOKUP(P34,Dropdowns!$N$2:$R$19,4,1),S34,Dropdowns!AB31,Dropdowns!R31,T34,)))</f>
        <v xml:space="preserve"> </v>
      </c>
    </row>
    <row r="35" spans="16:21" x14ac:dyDescent="0.25">
      <c r="P35" s="37"/>
      <c r="Q35" s="37"/>
      <c r="R35" s="37"/>
      <c r="S35" s="37"/>
      <c r="U35" s="37" t="str">
        <f>IF(P35=""," ",(_xlfn.CONCAT(P35,VLOOKUP(P35,Dropdowns!$N$2:$R$19,2,1),Q35,VLOOKUP(P35,Dropdowns!$N$2:$R$19,3,1),R35,VLOOKUP(P35,Dropdowns!$N$2:$R$19,4,1),S35,Dropdowns!AB32,Dropdowns!R32,T35,)))</f>
        <v xml:space="preserve"> </v>
      </c>
    </row>
    <row r="36" spans="16:21" x14ac:dyDescent="0.25">
      <c r="P36" s="37"/>
      <c r="Q36" s="37"/>
      <c r="R36" s="37"/>
      <c r="S36" s="37"/>
      <c r="U36" s="37" t="str">
        <f>IF(P36=""," ",(_xlfn.CONCAT(P36,VLOOKUP(P36,Dropdowns!$N$2:$R$19,2,1),Q36,VLOOKUP(P36,Dropdowns!$N$2:$R$19,3,1),R36,VLOOKUP(P36,Dropdowns!$N$2:$R$19,4,1),S36,Dropdowns!AB33,Dropdowns!R33,T36,)))</f>
        <v xml:space="preserve"> </v>
      </c>
    </row>
    <row r="37" spans="16:21" x14ac:dyDescent="0.25">
      <c r="P37" s="37"/>
      <c r="Q37" s="37"/>
      <c r="R37" s="37"/>
      <c r="S37" s="37"/>
      <c r="U37" s="37" t="str">
        <f>IF(P37=""," ",(_xlfn.CONCAT(P37,VLOOKUP(P37,Dropdowns!$N$2:$R$19,2,1),Q37,VLOOKUP(P37,Dropdowns!$N$2:$R$19,3,1),R37,VLOOKUP(P37,Dropdowns!$N$2:$R$19,4,1),S37,Dropdowns!AB34,Dropdowns!R34,T37,)))</f>
        <v xml:space="preserve"> </v>
      </c>
    </row>
    <row r="38" spans="16:21" x14ac:dyDescent="0.25">
      <c r="P38" s="37"/>
      <c r="Q38" s="37"/>
      <c r="R38" s="37"/>
      <c r="S38" s="37"/>
      <c r="U38" s="37" t="str">
        <f>IF(P38=""," ",(_xlfn.CONCAT(P38,VLOOKUP(P38,Dropdowns!$N$2:$R$19,2,1),Q38,VLOOKUP(P38,Dropdowns!$N$2:$R$19,3,1),R38,VLOOKUP(P38,Dropdowns!$N$2:$R$19,4,1),S38,Dropdowns!AB35,Dropdowns!R35,T38,)))</f>
        <v xml:space="preserve"> </v>
      </c>
    </row>
    <row r="39" spans="16:21" x14ac:dyDescent="0.25">
      <c r="P39" s="37"/>
      <c r="Q39" s="37"/>
      <c r="R39" s="37"/>
      <c r="S39" s="37"/>
      <c r="U39" s="37" t="str">
        <f>IF(P39=""," ",(_xlfn.CONCAT(P39,VLOOKUP(P39,Dropdowns!$N$2:$R$19,2,1),Q39,VLOOKUP(P39,Dropdowns!$N$2:$R$19,3,1),R39,VLOOKUP(P39,Dropdowns!$N$2:$R$19,4,1),S39,Dropdowns!AB36,Dropdowns!R36,T39,)))</f>
        <v xml:space="preserve"> </v>
      </c>
    </row>
    <row r="40" spans="16:21" x14ac:dyDescent="0.25">
      <c r="P40" s="37"/>
      <c r="Q40" s="37"/>
      <c r="R40" s="37"/>
      <c r="S40" s="37"/>
      <c r="U40" s="37" t="str">
        <f>IF(P40=""," ",(_xlfn.CONCAT(P40,VLOOKUP(P40,Dropdowns!$N$2:$R$19,2,1),Q40,VLOOKUP(P40,Dropdowns!$N$2:$R$19,3,1),R40,VLOOKUP(P40,Dropdowns!$N$2:$R$19,4,1),S40,Dropdowns!AB37,Dropdowns!R37,T40,)))</f>
        <v xml:space="preserve"> </v>
      </c>
    </row>
    <row r="41" spans="16:21" x14ac:dyDescent="0.25">
      <c r="P41" s="37"/>
      <c r="Q41" s="37"/>
      <c r="R41" s="37"/>
      <c r="S41" s="37"/>
      <c r="U41" s="37" t="str">
        <f>IF(P41=""," ",(_xlfn.CONCAT(P41,VLOOKUP(P41,Dropdowns!$N$2:$R$19,2,1),Q41,VLOOKUP(P41,Dropdowns!$N$2:$R$19,3,1),R41,VLOOKUP(P41,Dropdowns!$N$2:$R$19,4,1),S41,Dropdowns!AB38,Dropdowns!R38,T41,)))</f>
        <v xml:space="preserve"> </v>
      </c>
    </row>
    <row r="42" spans="16:21" x14ac:dyDescent="0.25">
      <c r="P42" s="37"/>
      <c r="Q42" s="37"/>
      <c r="R42" s="37"/>
      <c r="S42" s="37"/>
      <c r="U42" s="37" t="str">
        <f>IF(P42=""," ",(_xlfn.CONCAT(P42,VLOOKUP(P42,Dropdowns!$N$2:$R$19,2,1),Q42,VLOOKUP(P42,Dropdowns!$N$2:$R$19,3,1),R42,VLOOKUP(P42,Dropdowns!$N$2:$R$19,4,1),S42,Dropdowns!AB39,Dropdowns!R39,T42,)))</f>
        <v xml:space="preserve"> </v>
      </c>
    </row>
    <row r="43" spans="16:21" x14ac:dyDescent="0.25">
      <c r="P43" s="37"/>
      <c r="Q43" s="37"/>
      <c r="R43" s="37"/>
      <c r="S43" s="37"/>
      <c r="U43" s="37" t="str">
        <f>IF(P43=""," ",(_xlfn.CONCAT(P43,VLOOKUP(P43,Dropdowns!$N$2:$R$19,2,1),Q43,VLOOKUP(P43,Dropdowns!$N$2:$R$19,3,1),R43,VLOOKUP(P43,Dropdowns!$N$2:$R$19,4,1),S43,Dropdowns!AB40,Dropdowns!R40,T43,)))</f>
        <v xml:space="preserve"> </v>
      </c>
    </row>
    <row r="44" spans="16:21" x14ac:dyDescent="0.25">
      <c r="P44" s="37"/>
      <c r="Q44" s="37"/>
      <c r="R44" s="37"/>
      <c r="S44" s="37"/>
      <c r="U44" s="37" t="str">
        <f>IF(P44=""," ",(_xlfn.CONCAT(P44,VLOOKUP(P44,Dropdowns!$N$2:$R$19,2,1),Q44,VLOOKUP(P44,Dropdowns!$N$2:$R$19,3,1),R44,VLOOKUP(P44,Dropdowns!$N$2:$R$19,4,1),S44,Dropdowns!AB41,Dropdowns!R41,T44,)))</f>
        <v xml:space="preserve"> </v>
      </c>
    </row>
    <row r="45" spans="16:21" x14ac:dyDescent="0.25">
      <c r="P45" s="37"/>
      <c r="Q45" s="37"/>
      <c r="R45" s="37"/>
      <c r="S45" s="37"/>
      <c r="U45" s="37" t="str">
        <f>IF(P45=""," ",(_xlfn.CONCAT(P45,VLOOKUP(P45,Dropdowns!$N$2:$R$19,2,1),Q45,VLOOKUP(P45,Dropdowns!$N$2:$R$19,3,1),R45,VLOOKUP(P45,Dropdowns!$N$2:$R$19,4,1),S45,Dropdowns!AB42,Dropdowns!R42,T45,)))</f>
        <v xml:space="preserve"> </v>
      </c>
    </row>
    <row r="46" spans="16:21" x14ac:dyDescent="0.25">
      <c r="P46" s="37"/>
      <c r="Q46" s="37"/>
      <c r="R46" s="37"/>
      <c r="S46" s="37"/>
      <c r="U46" s="37" t="str">
        <f>IF(P46=""," ",(_xlfn.CONCAT(P46,VLOOKUP(P46,Dropdowns!$N$2:$R$19,2,1),Q46,VLOOKUP(P46,Dropdowns!$N$2:$R$19,3,1),R46,VLOOKUP(P46,Dropdowns!$N$2:$R$19,4,1),S46,Dropdowns!AB43,Dropdowns!R43,T46,)))</f>
        <v xml:space="preserve"> </v>
      </c>
    </row>
    <row r="47" spans="16:21" x14ac:dyDescent="0.25">
      <c r="P47" s="37"/>
      <c r="Q47" s="37"/>
      <c r="R47" s="37"/>
      <c r="S47" s="37"/>
      <c r="U47" s="37" t="str">
        <f>IF(P47=""," ",(_xlfn.CONCAT(P47,VLOOKUP(P47,Dropdowns!$N$2:$R$19,2,1),Q47,VLOOKUP(P47,Dropdowns!$N$2:$R$19,3,1),R47,VLOOKUP(P47,Dropdowns!$N$2:$R$19,4,1),S47,Dropdowns!AB44,Dropdowns!R44,T47,)))</f>
        <v xml:space="preserve"> </v>
      </c>
    </row>
    <row r="48" spans="16:21" x14ac:dyDescent="0.25">
      <c r="P48" s="37"/>
      <c r="Q48" s="37"/>
      <c r="R48" s="37"/>
      <c r="S48" s="37"/>
      <c r="U48" s="37" t="str">
        <f>IF(P48=""," ",(_xlfn.CONCAT(P48,VLOOKUP(P48,Dropdowns!$N$2:$R$19,2,1),Q48,VLOOKUP(P48,Dropdowns!$N$2:$R$19,3,1),R48,VLOOKUP(P48,Dropdowns!$N$2:$R$19,4,1),S48,Dropdowns!AB45,Dropdowns!R45,T48,)))</f>
        <v xml:space="preserve"> </v>
      </c>
    </row>
    <row r="49" spans="16:21" x14ac:dyDescent="0.25">
      <c r="P49" s="37"/>
      <c r="Q49" s="37"/>
      <c r="R49" s="37"/>
      <c r="S49" s="37"/>
      <c r="U49" s="37" t="str">
        <f>IF(P49=""," ",(_xlfn.CONCAT(P49,VLOOKUP(P49,Dropdowns!$N$2:$R$19,2,1),Q49,VLOOKUP(P49,Dropdowns!$N$2:$R$19,3,1),R49,VLOOKUP(P49,Dropdowns!$N$2:$R$19,4,1),S49,Dropdowns!AB46,Dropdowns!R46,T49,)))</f>
        <v xml:space="preserve"> </v>
      </c>
    </row>
    <row r="50" spans="16:21" x14ac:dyDescent="0.25">
      <c r="P50" s="37"/>
      <c r="Q50" s="37"/>
      <c r="R50" s="37"/>
      <c r="S50" s="37"/>
      <c r="U50" s="37" t="str">
        <f>IF(P50=""," ",(_xlfn.CONCAT(P50,VLOOKUP(P50,Dropdowns!$N$2:$R$19,2,1),Q50,VLOOKUP(P50,Dropdowns!$N$2:$R$19,3,1),R50,VLOOKUP(P50,Dropdowns!$N$2:$R$19,4,1),S50,Dropdowns!AB47,Dropdowns!R47,T50,)))</f>
        <v xml:space="preserve"> </v>
      </c>
    </row>
    <row r="51" spans="16:21" x14ac:dyDescent="0.25">
      <c r="P51" s="37"/>
      <c r="Q51" s="37"/>
      <c r="R51" s="37"/>
      <c r="S51" s="37"/>
      <c r="U51" s="37" t="str">
        <f>IF(P51=""," ",(_xlfn.CONCAT(P51,VLOOKUP(P51,Dropdowns!$N$2:$R$19,2,1),Q51,VLOOKUP(P51,Dropdowns!$N$2:$R$19,3,1),R51,VLOOKUP(P51,Dropdowns!$N$2:$R$19,4,1),S51,Dropdowns!AB48,Dropdowns!R48,T51,)))</f>
        <v xml:space="preserve"> </v>
      </c>
    </row>
    <row r="52" spans="16:21" x14ac:dyDescent="0.25">
      <c r="P52" s="37"/>
      <c r="Q52" s="37"/>
      <c r="R52" s="37"/>
      <c r="S52" s="37"/>
      <c r="U52" s="37" t="str">
        <f>IF(P52=""," ",(_xlfn.CONCAT(P52,VLOOKUP(P52,Dropdowns!$N$2:$R$19,2,1),Q52,VLOOKUP(P52,Dropdowns!$N$2:$R$19,3,1),R52,VLOOKUP(P52,Dropdowns!$N$2:$R$19,4,1),S52,Dropdowns!AB49,Dropdowns!R49,T52,)))</f>
        <v xml:space="preserve"> </v>
      </c>
    </row>
    <row r="53" spans="16:21" x14ac:dyDescent="0.25">
      <c r="P53" s="37"/>
      <c r="Q53" s="37"/>
      <c r="R53" s="37"/>
      <c r="S53" s="37"/>
      <c r="U53" s="37" t="str">
        <f>IF(P53=""," ",(_xlfn.CONCAT(P53,VLOOKUP(P53,Dropdowns!$N$2:$R$19,2,1),Q53,VLOOKUP(P53,Dropdowns!$N$2:$R$19,3,1),R53,VLOOKUP(P53,Dropdowns!$N$2:$R$19,4,1),S53,Dropdowns!AB50,Dropdowns!R50,T53,)))</f>
        <v xml:space="preserve"> </v>
      </c>
    </row>
    <row r="54" spans="16:21" x14ac:dyDescent="0.25">
      <c r="P54" s="37"/>
      <c r="Q54" s="37"/>
      <c r="R54" s="37"/>
      <c r="S54" s="37"/>
      <c r="U54" s="37" t="str">
        <f>IF(P54=""," ",(_xlfn.CONCAT(P54,VLOOKUP(P54,Dropdowns!$N$2:$R$19,2,1),Q54,VLOOKUP(P54,Dropdowns!$N$2:$R$19,3,1),R54,VLOOKUP(P54,Dropdowns!$N$2:$R$19,4,1),S54,Dropdowns!AB51,Dropdowns!R51,T54,)))</f>
        <v xml:space="preserve"> </v>
      </c>
    </row>
    <row r="55" spans="16:21" x14ac:dyDescent="0.25">
      <c r="P55" s="37"/>
      <c r="Q55" s="37"/>
      <c r="R55" s="37"/>
      <c r="S55" s="37"/>
      <c r="U55" s="37" t="str">
        <f>IF(P55=""," ",(_xlfn.CONCAT(P55,VLOOKUP(P55,Dropdowns!$N$2:$R$19,2,1),Q55,VLOOKUP(P55,Dropdowns!$N$2:$R$19,3,1),R55,VLOOKUP(P55,Dropdowns!$N$2:$R$19,4,1),S55,Dropdowns!AB52,Dropdowns!R52,T55,)))</f>
        <v xml:space="preserve"> </v>
      </c>
    </row>
    <row r="56" spans="16:21" x14ac:dyDescent="0.25">
      <c r="P56" s="37"/>
      <c r="Q56" s="37"/>
      <c r="R56" s="37"/>
      <c r="S56" s="37"/>
      <c r="U56" s="37" t="str">
        <f>IF(P56=""," ",(_xlfn.CONCAT(P56,VLOOKUP(P56,Dropdowns!$N$2:$R$19,2,1),Q56,VLOOKUP(P56,Dropdowns!$N$2:$R$19,3,1),R56,VLOOKUP(P56,Dropdowns!$N$2:$R$19,4,1),S56,Dropdowns!AB53,Dropdowns!R53,T56,)))</f>
        <v xml:space="preserve"> </v>
      </c>
    </row>
    <row r="57" spans="16:21" x14ac:dyDescent="0.25">
      <c r="P57" s="37"/>
      <c r="Q57" s="37"/>
      <c r="R57" s="37"/>
      <c r="S57" s="37"/>
      <c r="U57" s="37" t="str">
        <f>IF(P57=""," ",(_xlfn.CONCAT(P57,VLOOKUP(P57,Dropdowns!$N$2:$R$19,2,1),Q57,VLOOKUP(P57,Dropdowns!$N$2:$R$19,3,1),R57,VLOOKUP(P57,Dropdowns!$N$2:$R$19,4,1),S57,Dropdowns!AB54,Dropdowns!R54,T57,)))</f>
        <v xml:space="preserve"> </v>
      </c>
    </row>
    <row r="58" spans="16:21" x14ac:dyDescent="0.25">
      <c r="P58" s="37"/>
      <c r="Q58" s="37"/>
      <c r="R58" s="37"/>
      <c r="S58" s="37"/>
      <c r="U58" s="37" t="str">
        <f>IF(P58=""," ",(_xlfn.CONCAT(P58,VLOOKUP(P58,Dropdowns!$N$2:$R$19,2,1),Q58,VLOOKUP(P58,Dropdowns!$N$2:$R$19,3,1),R58,VLOOKUP(P58,Dropdowns!$N$2:$R$19,4,1),S58,Dropdowns!AB55,Dropdowns!R55,T58,)))</f>
        <v xml:space="preserve"> </v>
      </c>
    </row>
    <row r="59" spans="16:21" x14ac:dyDescent="0.25">
      <c r="P59" s="37"/>
      <c r="Q59" s="37"/>
      <c r="R59" s="37"/>
      <c r="S59" s="37"/>
      <c r="U59" s="37" t="str">
        <f>IF(P59=""," ",(_xlfn.CONCAT(P59,VLOOKUP(P59,Dropdowns!$N$2:$R$19,2,1),Q59,VLOOKUP(P59,Dropdowns!$N$2:$R$19,3,1),R59,VLOOKUP(P59,Dropdowns!$N$2:$R$19,4,1),S59,Dropdowns!AB56,Dropdowns!R56,T59,)))</f>
        <v xml:space="preserve"> </v>
      </c>
    </row>
    <row r="60" spans="16:21" x14ac:dyDescent="0.25">
      <c r="P60" s="37"/>
      <c r="Q60" s="37"/>
      <c r="R60" s="37"/>
      <c r="S60" s="37"/>
      <c r="U60" s="37" t="str">
        <f>IF(P60=""," ",(_xlfn.CONCAT(P60,VLOOKUP(P60,Dropdowns!$N$2:$R$19,2,1),Q60,VLOOKUP(P60,Dropdowns!$N$2:$R$19,3,1),R60,VLOOKUP(P60,Dropdowns!$N$2:$R$19,4,1),S60,Dropdowns!AB57,Dropdowns!R57,T60,)))</f>
        <v xml:space="preserve"> </v>
      </c>
    </row>
    <row r="61" spans="16:21" x14ac:dyDescent="0.25">
      <c r="P61" s="37"/>
      <c r="Q61" s="37"/>
      <c r="R61" s="37"/>
      <c r="S61" s="37"/>
      <c r="U61" s="37" t="str">
        <f>IF(P61=""," ",(_xlfn.CONCAT(P61,VLOOKUP(P61,Dropdowns!$N$2:$R$19,2,1),Q61,VLOOKUP(P61,Dropdowns!$N$2:$R$19,3,1),R61,VLOOKUP(P61,Dropdowns!$N$2:$R$19,4,1),S61,Dropdowns!AB58,Dropdowns!R58,T61,)))</f>
        <v xml:space="preserve"> </v>
      </c>
    </row>
    <row r="62" spans="16:21" x14ac:dyDescent="0.25">
      <c r="P62" s="37"/>
      <c r="Q62" s="37"/>
      <c r="R62" s="37"/>
      <c r="S62" s="37"/>
      <c r="U62" s="37" t="str">
        <f>IF(P62=""," ",(_xlfn.CONCAT(P62,VLOOKUP(P62,Dropdowns!$N$2:$R$19,2,1),Q62,VLOOKUP(P62,Dropdowns!$N$2:$R$19,3,1),R62,VLOOKUP(P62,Dropdowns!$N$2:$R$19,4,1),S62,Dropdowns!AB59,Dropdowns!R59,T62,)))</f>
        <v xml:space="preserve"> </v>
      </c>
    </row>
    <row r="63" spans="16:21" x14ac:dyDescent="0.25">
      <c r="P63" s="37"/>
      <c r="Q63" s="37"/>
      <c r="R63" s="37"/>
      <c r="S63" s="37"/>
      <c r="U63" s="37" t="str">
        <f>IF(P63=""," ",(_xlfn.CONCAT(P63,VLOOKUP(P63,Dropdowns!$N$2:$R$19,2,1),Q63,VLOOKUP(P63,Dropdowns!$N$2:$R$19,3,1),R63,VLOOKUP(P63,Dropdowns!$N$2:$R$19,4,1),S63,Dropdowns!AB60,Dropdowns!R60,T63,)))</f>
        <v xml:space="preserve"> </v>
      </c>
    </row>
    <row r="64" spans="16:21" x14ac:dyDescent="0.25">
      <c r="P64" s="37"/>
      <c r="Q64" s="37"/>
      <c r="R64" s="37"/>
      <c r="S64" s="37"/>
      <c r="U64" s="37" t="str">
        <f>IF(P64=""," ",(_xlfn.CONCAT(P64,VLOOKUP(P64,Dropdowns!$N$2:$R$19,2,1),Q64,VLOOKUP(P64,Dropdowns!$N$2:$R$19,3,1),R64,VLOOKUP(P64,Dropdowns!$N$2:$R$19,4,1),S64,Dropdowns!AB61,Dropdowns!R61,T64,)))</f>
        <v xml:space="preserve"> </v>
      </c>
    </row>
    <row r="65" spans="16:21" x14ac:dyDescent="0.25">
      <c r="P65" s="37"/>
      <c r="Q65" s="37"/>
      <c r="R65" s="37"/>
      <c r="S65" s="37"/>
      <c r="U65" s="37" t="str">
        <f>IF(P65=""," ",(_xlfn.CONCAT(P65,VLOOKUP(P65,Dropdowns!$N$2:$R$19,2,1),Q65,VLOOKUP(P65,Dropdowns!$N$2:$R$19,3,1),R65,VLOOKUP(P65,Dropdowns!$N$2:$R$19,4,1),S65,Dropdowns!AB62,Dropdowns!R62,T65,)))</f>
        <v xml:space="preserve"> </v>
      </c>
    </row>
    <row r="66" spans="16:21" x14ac:dyDescent="0.25">
      <c r="P66" s="37"/>
      <c r="Q66" s="37"/>
      <c r="R66" s="37"/>
      <c r="S66" s="37"/>
      <c r="U66" s="37" t="str">
        <f>IF(P66=""," ",(_xlfn.CONCAT(P66,VLOOKUP(P66,Dropdowns!$N$2:$R$19,2,1),Q66,VLOOKUP(P66,Dropdowns!$N$2:$R$19,3,1),R66,VLOOKUP(P66,Dropdowns!$N$2:$R$19,4,1),S66,Dropdowns!AB63,Dropdowns!R63,T66,)))</f>
        <v xml:space="preserve"> </v>
      </c>
    </row>
    <row r="67" spans="16:21" x14ac:dyDescent="0.25">
      <c r="P67" s="37"/>
      <c r="Q67" s="37"/>
      <c r="R67" s="37"/>
      <c r="S67" s="37"/>
      <c r="U67" s="37" t="str">
        <f>IF(P67=""," ",(_xlfn.CONCAT(P67,VLOOKUP(P67,Dropdowns!$N$2:$R$19,2,1),Q67,VLOOKUP(P67,Dropdowns!$N$2:$R$19,3,1),R67,VLOOKUP(P67,Dropdowns!$N$2:$R$19,4,1),S67,Dropdowns!AB64,Dropdowns!R64,T67,)))</f>
        <v xml:space="preserve"> </v>
      </c>
    </row>
    <row r="68" spans="16:21" x14ac:dyDescent="0.25">
      <c r="P68" s="37"/>
      <c r="Q68" s="37"/>
      <c r="R68" s="37"/>
      <c r="S68" s="37"/>
      <c r="U68" s="37" t="str">
        <f>IF(P68=""," ",(_xlfn.CONCAT(P68,VLOOKUP(P68,Dropdowns!$N$2:$R$19,2,1),Q68,VLOOKUP(P68,Dropdowns!$N$2:$R$19,3,1),R68,VLOOKUP(P68,Dropdowns!$N$2:$R$19,4,1),S68,Dropdowns!AB65,Dropdowns!R65,T68,)))</f>
        <v xml:space="preserve"> </v>
      </c>
    </row>
    <row r="69" spans="16:21" x14ac:dyDescent="0.25">
      <c r="P69" s="37"/>
      <c r="Q69" s="37"/>
      <c r="R69" s="37"/>
      <c r="S69" s="37"/>
      <c r="U69" s="37" t="str">
        <f>IF(P69=""," ",(_xlfn.CONCAT(P69,VLOOKUP(P69,Dropdowns!$N$2:$R$19,2,1),Q69,VLOOKUP(P69,Dropdowns!$N$2:$R$19,3,1),R69,VLOOKUP(P69,Dropdowns!$N$2:$R$19,4,1),S69,Dropdowns!AB66,Dropdowns!R66,T69,)))</f>
        <v xml:space="preserve"> </v>
      </c>
    </row>
    <row r="70" spans="16:21" x14ac:dyDescent="0.25">
      <c r="P70" s="37"/>
      <c r="Q70" s="37"/>
      <c r="R70" s="37"/>
      <c r="S70" s="37"/>
      <c r="U70" s="37" t="str">
        <f>IF(P70=""," ",(_xlfn.CONCAT(P70,VLOOKUP(P70,Dropdowns!$N$2:$R$19,2,1),Q70,VLOOKUP(P70,Dropdowns!$N$2:$R$19,3,1),R70,VLOOKUP(P70,Dropdowns!$N$2:$R$19,4,1),S70,Dropdowns!AB67,Dropdowns!R67,T70,)))</f>
        <v xml:space="preserve"> </v>
      </c>
    </row>
    <row r="71" spans="16:21" x14ac:dyDescent="0.25">
      <c r="P71" s="37"/>
      <c r="Q71" s="37"/>
      <c r="R71" s="37"/>
      <c r="S71" s="37"/>
      <c r="U71" s="37" t="str">
        <f>IF(P71=""," ",(_xlfn.CONCAT(P71,VLOOKUP(P71,Dropdowns!$N$2:$R$19,2,1),Q71,VLOOKUP(P71,Dropdowns!$N$2:$R$19,3,1),R71,VLOOKUP(P71,Dropdowns!$N$2:$R$19,4,1),S71,Dropdowns!AB68,Dropdowns!R68,T71,)))</f>
        <v xml:space="preserve"> </v>
      </c>
    </row>
    <row r="72" spans="16:21" x14ac:dyDescent="0.25">
      <c r="P72" s="37"/>
      <c r="Q72" s="37"/>
      <c r="R72" s="37"/>
      <c r="S72" s="37"/>
      <c r="U72" s="37" t="str">
        <f>IF(P72=""," ",(_xlfn.CONCAT(P72,VLOOKUP(P72,Dropdowns!$N$2:$R$19,2,1),Q72,VLOOKUP(P72,Dropdowns!$N$2:$R$19,3,1),R72,VLOOKUP(P72,Dropdowns!$N$2:$R$19,4,1),S72,Dropdowns!AB69,Dropdowns!R69,T72,)))</f>
        <v xml:space="preserve"> </v>
      </c>
    </row>
    <row r="73" spans="16:21" x14ac:dyDescent="0.25">
      <c r="P73" s="37"/>
      <c r="Q73" s="37"/>
      <c r="R73" s="37"/>
      <c r="S73" s="37"/>
      <c r="U73" s="37" t="str">
        <f>IF(P73=""," ",(_xlfn.CONCAT(P73,VLOOKUP(P73,Dropdowns!$N$2:$R$19,2,1),Q73,VLOOKUP(P73,Dropdowns!$N$2:$R$19,3,1),R73,VLOOKUP(P73,Dropdowns!$N$2:$R$19,4,1),S73,Dropdowns!AB70,Dropdowns!R70,T73,)))</f>
        <v xml:space="preserve"> </v>
      </c>
    </row>
    <row r="74" spans="16:21" x14ac:dyDescent="0.25">
      <c r="P74" s="37"/>
      <c r="Q74" s="37"/>
      <c r="R74" s="37"/>
      <c r="S74" s="37"/>
      <c r="U74" s="37" t="str">
        <f>IF(P74=""," ",(_xlfn.CONCAT(P74,VLOOKUP(P74,Dropdowns!$N$2:$R$19,2,1),Q74,VLOOKUP(P74,Dropdowns!$N$2:$R$19,3,1),R74,VLOOKUP(P74,Dropdowns!$N$2:$R$19,4,1),S74,Dropdowns!AB71,Dropdowns!R71,T74,)))</f>
        <v xml:space="preserve"> </v>
      </c>
    </row>
    <row r="75" spans="16:21" x14ac:dyDescent="0.25">
      <c r="P75" s="37"/>
      <c r="Q75" s="37"/>
      <c r="R75" s="37"/>
      <c r="S75" s="37"/>
      <c r="U75" s="37" t="str">
        <f>IF(P75=""," ",(_xlfn.CONCAT(P75,VLOOKUP(P75,Dropdowns!$N$2:$R$19,2,1),Q75,VLOOKUP(P75,Dropdowns!$N$2:$R$19,3,1),R75,VLOOKUP(P75,Dropdowns!$N$2:$R$19,4,1),S75,Dropdowns!AB72,Dropdowns!R72,T75,)))</f>
        <v xml:space="preserve"> </v>
      </c>
    </row>
    <row r="76" spans="16:21" x14ac:dyDescent="0.25">
      <c r="P76" s="37"/>
      <c r="Q76" s="37"/>
      <c r="R76" s="37"/>
      <c r="S76" s="37"/>
      <c r="U76" s="37" t="str">
        <f>IF(P76=""," ",(_xlfn.CONCAT(P76,VLOOKUP(P76,Dropdowns!$N$2:$R$19,2,1),Q76,VLOOKUP(P76,Dropdowns!$N$2:$R$19,3,1),R76,VLOOKUP(P76,Dropdowns!$N$2:$R$19,4,1),S76,Dropdowns!AB73,Dropdowns!R73,T76,)))</f>
        <v xml:space="preserve"> </v>
      </c>
    </row>
    <row r="77" spans="16:21" x14ac:dyDescent="0.25">
      <c r="P77" s="37"/>
      <c r="Q77" s="37"/>
      <c r="R77" s="37"/>
      <c r="S77" s="37"/>
      <c r="U77" s="37" t="str">
        <f>IF(P77=""," ",(_xlfn.CONCAT(P77,VLOOKUP(P77,Dropdowns!$N$2:$R$19,2,1),Q77,VLOOKUP(P77,Dropdowns!$N$2:$R$19,3,1),R77,VLOOKUP(P77,Dropdowns!$N$2:$R$19,4,1),S77,Dropdowns!AB74,Dropdowns!R74,T77,)))</f>
        <v xml:space="preserve"> </v>
      </c>
    </row>
    <row r="78" spans="16:21" x14ac:dyDescent="0.25">
      <c r="P78" s="37"/>
      <c r="Q78" s="37"/>
      <c r="R78" s="37"/>
      <c r="S78" s="37"/>
      <c r="U78" s="37" t="str">
        <f>IF(P78=""," ",(_xlfn.CONCAT(P78,VLOOKUP(P78,Dropdowns!$N$2:$R$19,2,1),Q78,VLOOKUP(P78,Dropdowns!$N$2:$R$19,3,1),R78,VLOOKUP(P78,Dropdowns!$N$2:$R$19,4,1),S78,Dropdowns!AB75,Dropdowns!R75,T78,)))</f>
        <v xml:space="preserve"> </v>
      </c>
    </row>
    <row r="79" spans="16:21" x14ac:dyDescent="0.25">
      <c r="P79" s="37"/>
      <c r="Q79" s="37"/>
      <c r="R79" s="37"/>
      <c r="S79" s="37"/>
      <c r="U79" s="37" t="str">
        <f>IF(P79=""," ",(_xlfn.CONCAT(P79,VLOOKUP(P79,Dropdowns!$N$2:$R$19,2,1),Q79,VLOOKUP(P79,Dropdowns!$N$2:$R$19,3,1),R79,VLOOKUP(P79,Dropdowns!$N$2:$R$19,4,1),S79,Dropdowns!AB76,Dropdowns!R76,T79,)))</f>
        <v xml:space="preserve"> </v>
      </c>
    </row>
    <row r="80" spans="16:21" x14ac:dyDescent="0.25">
      <c r="P80" s="37"/>
      <c r="Q80" s="37"/>
      <c r="R80" s="37"/>
      <c r="S80" s="37"/>
      <c r="U80" s="37" t="str">
        <f>IF(P80=""," ",(_xlfn.CONCAT(P80,VLOOKUP(P80,Dropdowns!$N$2:$R$19,2,1),Q80,VLOOKUP(P80,Dropdowns!$N$2:$R$19,3,1),R80,VLOOKUP(P80,Dropdowns!$N$2:$R$19,4,1),S80,Dropdowns!AB77,Dropdowns!R77,T80,)))</f>
        <v xml:space="preserve"> </v>
      </c>
    </row>
    <row r="81" spans="16:21" x14ac:dyDescent="0.25">
      <c r="P81" s="37"/>
      <c r="Q81" s="37"/>
      <c r="R81" s="37"/>
      <c r="S81" s="37"/>
      <c r="U81" s="37" t="str">
        <f>IF(P81=""," ",(_xlfn.CONCAT(P81,VLOOKUP(P81,Dropdowns!$N$2:$R$19,2,1),Q81,VLOOKUP(P81,Dropdowns!$N$2:$R$19,3,1),R81,VLOOKUP(P81,Dropdowns!$N$2:$R$19,4,1),S81,Dropdowns!AB78,Dropdowns!R78,T81,)))</f>
        <v xml:space="preserve"> </v>
      </c>
    </row>
    <row r="82" spans="16:21" x14ac:dyDescent="0.25">
      <c r="P82" s="37"/>
      <c r="Q82" s="37"/>
      <c r="R82" s="37"/>
      <c r="S82" s="37"/>
      <c r="U82" s="37" t="str">
        <f>IF(P82=""," ",(_xlfn.CONCAT(P82,VLOOKUP(P82,Dropdowns!$N$2:$R$19,2,1),Q82,VLOOKUP(P82,Dropdowns!$N$2:$R$19,3,1),R82,VLOOKUP(P82,Dropdowns!$N$2:$R$19,4,1),S82,Dropdowns!AB79,Dropdowns!R79,T82,)))</f>
        <v xml:space="preserve"> </v>
      </c>
    </row>
    <row r="83" spans="16:21" x14ac:dyDescent="0.25">
      <c r="P83" s="37"/>
      <c r="Q83" s="37"/>
      <c r="R83" s="37"/>
      <c r="S83" s="37"/>
      <c r="U83" s="37" t="str">
        <f>IF(P83=""," ",(_xlfn.CONCAT(P83,VLOOKUP(P83,Dropdowns!$N$2:$R$19,2,1),Q83,VLOOKUP(P83,Dropdowns!$N$2:$R$19,3,1),R83,VLOOKUP(P83,Dropdowns!$N$2:$R$19,4,1),S83,Dropdowns!AB80,Dropdowns!R80,T83,)))</f>
        <v xml:space="preserve"> </v>
      </c>
    </row>
    <row r="84" spans="16:21" x14ac:dyDescent="0.25">
      <c r="P84" s="37"/>
      <c r="Q84" s="37"/>
      <c r="R84" s="37"/>
      <c r="S84" s="37"/>
      <c r="U84" s="37" t="str">
        <f>IF(P84=""," ",(_xlfn.CONCAT(P84,VLOOKUP(P84,Dropdowns!$N$2:$R$19,2,1),Q84,VLOOKUP(P84,Dropdowns!$N$2:$R$19,3,1),R84,VLOOKUP(P84,Dropdowns!$N$2:$R$19,4,1),S84,Dropdowns!AB81,Dropdowns!R81,T84,)))</f>
        <v xml:space="preserve"> </v>
      </c>
    </row>
    <row r="85" spans="16:21" x14ac:dyDescent="0.25">
      <c r="P85" s="37"/>
      <c r="Q85" s="37"/>
      <c r="R85" s="37"/>
      <c r="S85" s="37"/>
      <c r="U85" s="37" t="str">
        <f>IF(P85=""," ",(_xlfn.CONCAT(P85,VLOOKUP(P85,Dropdowns!$N$2:$R$19,2,1),Q85,VLOOKUP(P85,Dropdowns!$N$2:$R$19,3,1),R85,VLOOKUP(P85,Dropdowns!$N$2:$R$19,4,1),S85,Dropdowns!AB82,Dropdowns!R82,T85,)))</f>
        <v xml:space="preserve"> </v>
      </c>
    </row>
    <row r="86" spans="16:21" x14ac:dyDescent="0.25">
      <c r="P86" s="37"/>
      <c r="Q86" s="37"/>
      <c r="R86" s="37"/>
      <c r="S86" s="37"/>
      <c r="U86" s="37" t="str">
        <f>IF(P86=""," ",(_xlfn.CONCAT(P86,VLOOKUP(P86,Dropdowns!$N$2:$R$19,2,1),Q86,VLOOKUP(P86,Dropdowns!$N$2:$R$19,3,1),R86,VLOOKUP(P86,Dropdowns!$N$2:$R$19,4,1),S86,Dropdowns!AB83,Dropdowns!R83,T86,)))</f>
        <v xml:space="preserve"> </v>
      </c>
    </row>
    <row r="87" spans="16:21" x14ac:dyDescent="0.25">
      <c r="P87" s="37"/>
      <c r="Q87" s="37"/>
      <c r="R87" s="37"/>
      <c r="S87" s="37"/>
      <c r="U87" s="37" t="str">
        <f>IF(P87=""," ",(_xlfn.CONCAT(P87,VLOOKUP(P87,Dropdowns!$N$2:$R$19,2,1),Q87,VLOOKUP(P87,Dropdowns!$N$2:$R$19,3,1),R87,VLOOKUP(P87,Dropdowns!$N$2:$R$19,4,1),S87,Dropdowns!AB84,Dropdowns!R84,T87,)))</f>
        <v xml:space="preserve"> </v>
      </c>
    </row>
    <row r="88" spans="16:21" x14ac:dyDescent="0.25">
      <c r="P88" s="37"/>
      <c r="Q88" s="37"/>
      <c r="R88" s="37"/>
      <c r="S88" s="37"/>
      <c r="U88" s="37" t="str">
        <f>IF(P88=""," ",(_xlfn.CONCAT(P88,VLOOKUP(P88,Dropdowns!$N$2:$R$19,2,1),Q88,VLOOKUP(P88,Dropdowns!$N$2:$R$19,3,1),R88,VLOOKUP(P88,Dropdowns!$N$2:$R$19,4,1),S88,Dropdowns!AB85,Dropdowns!R85,T88,)))</f>
        <v xml:space="preserve"> </v>
      </c>
    </row>
    <row r="89" spans="16:21" x14ac:dyDescent="0.25">
      <c r="P89" s="37"/>
      <c r="Q89" s="37"/>
      <c r="R89" s="37"/>
      <c r="S89" s="37"/>
      <c r="U89" s="37" t="str">
        <f>IF(P89=""," ",(_xlfn.CONCAT(P89,VLOOKUP(P89,Dropdowns!$N$2:$R$19,2,1),Q89,VLOOKUP(P89,Dropdowns!$N$2:$R$19,3,1),R89,VLOOKUP(P89,Dropdowns!$N$2:$R$19,4,1),S89,Dropdowns!AB86,Dropdowns!R86,T89,)))</f>
        <v xml:space="preserve"> </v>
      </c>
    </row>
    <row r="90" spans="16:21" x14ac:dyDescent="0.25">
      <c r="P90" s="37"/>
      <c r="Q90" s="37"/>
      <c r="R90" s="37"/>
      <c r="S90" s="37"/>
      <c r="U90" s="37" t="str">
        <f>IF(P90=""," ",(_xlfn.CONCAT(P90,VLOOKUP(P90,Dropdowns!$N$2:$R$19,2,1),Q90,VLOOKUP(P90,Dropdowns!$N$2:$R$19,3,1),R90,VLOOKUP(P90,Dropdowns!$N$2:$R$19,4,1),S90,Dropdowns!AB87,Dropdowns!R87,T90,)))</f>
        <v xml:space="preserve"> </v>
      </c>
    </row>
    <row r="91" spans="16:21" x14ac:dyDescent="0.25">
      <c r="P91" s="37"/>
      <c r="Q91" s="37"/>
      <c r="R91" s="37"/>
      <c r="S91" s="37"/>
      <c r="U91" s="37" t="str">
        <f>IF(P91=""," ",(_xlfn.CONCAT(P91,VLOOKUP(P91,Dropdowns!$N$2:$R$19,2,1),Q91,VLOOKUP(P91,Dropdowns!$N$2:$R$19,3,1),R91,VLOOKUP(P91,Dropdowns!$N$2:$R$19,4,1),S91,Dropdowns!AB88,Dropdowns!R88,T91,)))</f>
        <v xml:space="preserve"> </v>
      </c>
    </row>
    <row r="92" spans="16:21" x14ac:dyDescent="0.25">
      <c r="P92" s="37"/>
      <c r="Q92" s="37"/>
      <c r="R92" s="37"/>
      <c r="S92" s="37"/>
      <c r="U92" s="37" t="str">
        <f>IF(P92=""," ",(_xlfn.CONCAT(P92,VLOOKUP(P92,Dropdowns!$N$2:$R$19,2,1),Q92,VLOOKUP(P92,Dropdowns!$N$2:$R$19,3,1),R92,VLOOKUP(P92,Dropdowns!$N$2:$R$19,4,1),S92,Dropdowns!AB89,Dropdowns!R89,T92,)))</f>
        <v xml:space="preserve"> </v>
      </c>
    </row>
    <row r="93" spans="16:21" x14ac:dyDescent="0.25">
      <c r="P93" s="37"/>
      <c r="Q93" s="37"/>
      <c r="R93" s="37"/>
      <c r="S93" s="37"/>
      <c r="U93" s="37" t="str">
        <f>IF(P93=""," ",(_xlfn.CONCAT(P93,VLOOKUP(P93,Dropdowns!$N$2:$R$19,2,1),Q93,VLOOKUP(P93,Dropdowns!$N$2:$R$19,3,1),R93,VLOOKUP(P93,Dropdowns!$N$2:$R$19,4,1),S93,Dropdowns!AB90,Dropdowns!R90,T93,)))</f>
        <v xml:space="preserve"> </v>
      </c>
    </row>
    <row r="94" spans="16:21" x14ac:dyDescent="0.25">
      <c r="P94" s="37"/>
      <c r="Q94" s="37"/>
      <c r="R94" s="37"/>
      <c r="S94" s="37"/>
      <c r="U94" s="37" t="str">
        <f>IF(P94=""," ",(_xlfn.CONCAT(P94,VLOOKUP(P94,Dropdowns!$N$2:$R$19,2,1),Q94,VLOOKUP(P94,Dropdowns!$N$2:$R$19,3,1),R94,VLOOKUP(P94,Dropdowns!$N$2:$R$19,4,1),S94,Dropdowns!AB91,Dropdowns!R91,T94,)))</f>
        <v xml:space="preserve"> </v>
      </c>
    </row>
    <row r="95" spans="16:21" x14ac:dyDescent="0.25">
      <c r="P95" s="37"/>
      <c r="Q95" s="37"/>
      <c r="R95" s="37"/>
      <c r="S95" s="37"/>
      <c r="U95" s="37" t="str">
        <f>IF(P95=""," ",(_xlfn.CONCAT(P95,VLOOKUP(P95,Dropdowns!$N$2:$R$19,2,1),Q95,VLOOKUP(P95,Dropdowns!$N$2:$R$19,3,1),R95,VLOOKUP(P95,Dropdowns!$N$2:$R$19,4,1),S95,Dropdowns!AB92,Dropdowns!R92,T95,)))</f>
        <v xml:space="preserve"> </v>
      </c>
    </row>
    <row r="96" spans="16:21" x14ac:dyDescent="0.25">
      <c r="P96" s="37"/>
      <c r="Q96" s="37"/>
      <c r="R96" s="37"/>
      <c r="S96" s="37"/>
      <c r="U96" s="37" t="str">
        <f>IF(P96=""," ",(_xlfn.CONCAT(P96,VLOOKUP(P96,Dropdowns!$N$2:$R$19,2,1),Q96,VLOOKUP(P96,Dropdowns!$N$2:$R$19,3,1),R96,VLOOKUP(P96,Dropdowns!$N$2:$R$19,4,1),S96,Dropdowns!AB93,Dropdowns!R93,T96,)))</f>
        <v xml:space="preserve"> </v>
      </c>
    </row>
    <row r="97" spans="16:21" x14ac:dyDescent="0.25">
      <c r="P97" s="37"/>
      <c r="Q97" s="37"/>
      <c r="R97" s="37"/>
      <c r="S97" s="37"/>
      <c r="U97" s="37" t="str">
        <f>IF(P97=""," ",(_xlfn.CONCAT(P97,VLOOKUP(P97,Dropdowns!$N$2:$R$19,2,1),Q97,VLOOKUP(P97,Dropdowns!$N$2:$R$19,3,1),R97,VLOOKUP(P97,Dropdowns!$N$2:$R$19,4,1),S97,Dropdowns!AB94,Dropdowns!R94,T97,)))</f>
        <v xml:space="preserve"> </v>
      </c>
    </row>
    <row r="98" spans="16:21" x14ac:dyDescent="0.25">
      <c r="P98" s="37"/>
      <c r="Q98" s="37"/>
      <c r="R98" s="37"/>
      <c r="S98" s="37"/>
      <c r="U98" s="37" t="str">
        <f>IF(P98=""," ",(_xlfn.CONCAT(P98,VLOOKUP(P98,Dropdowns!$N$2:$R$19,2,1),Q98,VLOOKUP(P98,Dropdowns!$N$2:$R$19,3,1),R98,VLOOKUP(P98,Dropdowns!$N$2:$R$19,4,1),S98,Dropdowns!AB95,Dropdowns!R95,T98,)))</f>
        <v xml:space="preserve"> </v>
      </c>
    </row>
    <row r="99" spans="16:21" x14ac:dyDescent="0.25">
      <c r="P99" s="37"/>
      <c r="Q99" s="37"/>
      <c r="R99" s="37"/>
      <c r="S99" s="37"/>
      <c r="U99" s="37" t="str">
        <f>IF(P99=""," ",(_xlfn.CONCAT(P99,VLOOKUP(P99,Dropdowns!$N$2:$R$19,2,1),Q99,VLOOKUP(P99,Dropdowns!$N$2:$R$19,3,1),R99,VLOOKUP(P99,Dropdowns!$N$2:$R$19,4,1),S99,Dropdowns!AB96,Dropdowns!R96,T99,)))</f>
        <v xml:space="preserve"> </v>
      </c>
    </row>
    <row r="100" spans="16:21" x14ac:dyDescent="0.25">
      <c r="P100" s="37"/>
      <c r="Q100" s="37"/>
      <c r="R100" s="37"/>
      <c r="S100" s="37"/>
      <c r="U100" s="37" t="str">
        <f>IF(P100=""," ",(_xlfn.CONCAT(P100,VLOOKUP(P100,Dropdowns!$N$2:$R$19,2,1),Q100,VLOOKUP(P100,Dropdowns!$N$2:$R$19,3,1),R100,VLOOKUP(P100,Dropdowns!$N$2:$R$19,4,1),S100,Dropdowns!AB97,Dropdowns!R97,T100,)))</f>
        <v xml:space="preserve"> </v>
      </c>
    </row>
    <row r="101" spans="16:21" x14ac:dyDescent="0.25">
      <c r="P101" s="37"/>
      <c r="Q101" s="37"/>
      <c r="R101" s="37"/>
      <c r="S101" s="37"/>
      <c r="U101" s="37" t="str">
        <f>IF(P101=""," ",(_xlfn.CONCAT(P101,VLOOKUP(P101,Dropdowns!$N$2:$R$19,2,1),Q101,VLOOKUP(P101,Dropdowns!$N$2:$R$19,3,1),R101,VLOOKUP(P101,Dropdowns!$N$2:$R$19,4,1),S101,Dropdowns!AB98,Dropdowns!R98,T101,)))</f>
        <v xml:space="preserve"> </v>
      </c>
    </row>
    <row r="102" spans="16:21" x14ac:dyDescent="0.25">
      <c r="P102" s="37"/>
      <c r="Q102" s="37"/>
      <c r="R102" s="37"/>
      <c r="S102" s="37"/>
      <c r="U102" s="37" t="str">
        <f>IF(P102=""," ",(_xlfn.CONCAT(P102,VLOOKUP(P102,Dropdowns!$N$2:$R$19,2,1),Q102,VLOOKUP(P102,Dropdowns!$N$2:$R$19,3,1),R102,VLOOKUP(P102,Dropdowns!$N$2:$R$19,4,1),S102,Dropdowns!AB99,Dropdowns!R99,T102,)))</f>
        <v xml:space="preserve"> </v>
      </c>
    </row>
    <row r="103" spans="16:21" x14ac:dyDescent="0.25">
      <c r="P103" s="37"/>
      <c r="Q103" s="37"/>
      <c r="R103" s="37"/>
      <c r="S103" s="37"/>
      <c r="U103" s="37" t="str">
        <f>IF(P103=""," ",(_xlfn.CONCAT(P103,VLOOKUP(P103,Dropdowns!$N$2:$R$19,2,1),Q103,VLOOKUP(P103,Dropdowns!$N$2:$R$19,3,1),R103,VLOOKUP(P103,Dropdowns!$N$2:$R$19,4,1),S103,Dropdowns!AB100,Dropdowns!R100,T103,)))</f>
        <v xml:space="preserve"> </v>
      </c>
    </row>
    <row r="104" spans="16:21" x14ac:dyDescent="0.25">
      <c r="P104" s="37"/>
      <c r="Q104" s="37"/>
      <c r="R104" s="37"/>
      <c r="S104" s="37"/>
      <c r="U104" s="37" t="str">
        <f>IF(P104=""," ",(_xlfn.CONCAT(P104,VLOOKUP(P104,Dropdowns!$N$2:$R$19,2,1),Q104,VLOOKUP(P104,Dropdowns!$N$2:$R$19,3,1),R104,VLOOKUP(P104,Dropdowns!$N$2:$R$19,4,1),S104,Dropdowns!AB101,Dropdowns!R101,T104,)))</f>
        <v xml:space="preserve"> </v>
      </c>
    </row>
    <row r="105" spans="16:21" x14ac:dyDescent="0.25">
      <c r="P105" s="37"/>
      <c r="Q105" s="37"/>
      <c r="R105" s="37"/>
      <c r="S105" s="37"/>
      <c r="U105" s="37" t="str">
        <f>IF(P105=""," ",(_xlfn.CONCAT(P105,VLOOKUP(P105,Dropdowns!$N$2:$R$19,2,1),Q105,VLOOKUP(P105,Dropdowns!$N$2:$R$19,3,1),R105,VLOOKUP(P105,Dropdowns!$N$2:$R$19,4,1),S105,Dropdowns!AB102,Dropdowns!R102,T105,)))</f>
        <v xml:space="preserve"> </v>
      </c>
    </row>
    <row r="106" spans="16:21" x14ac:dyDescent="0.25">
      <c r="P106" s="37"/>
      <c r="Q106" s="37"/>
      <c r="R106" s="37"/>
      <c r="S106" s="37"/>
      <c r="U106" s="37" t="str">
        <f>IF(P106=""," ",(_xlfn.CONCAT(P106,VLOOKUP(P106,Dropdowns!$N$2:$R$19,2,1),Q106,VLOOKUP(P106,Dropdowns!$N$2:$R$19,3,1),R106,VLOOKUP(P106,Dropdowns!$N$2:$R$19,4,1),S106,Dropdowns!AB103,Dropdowns!R103,T106,)))</f>
        <v xml:space="preserve"> </v>
      </c>
    </row>
    <row r="107" spans="16:21" x14ac:dyDescent="0.25">
      <c r="P107" s="37"/>
      <c r="Q107" s="37"/>
      <c r="R107" s="37"/>
      <c r="S107" s="37"/>
      <c r="U107" s="37" t="str">
        <f>IF(P107=""," ",(_xlfn.CONCAT(P107,VLOOKUP(P107,Dropdowns!$N$2:$R$19,2,1),Q107,VLOOKUP(P107,Dropdowns!$N$2:$R$19,3,1),R107,VLOOKUP(P107,Dropdowns!$N$2:$R$19,4,1),S107,Dropdowns!AB104,Dropdowns!R104,T107,)))</f>
        <v xml:space="preserve"> </v>
      </c>
    </row>
    <row r="108" spans="16:21" x14ac:dyDescent="0.25">
      <c r="P108" s="37"/>
      <c r="Q108" s="37"/>
      <c r="R108" s="37"/>
      <c r="S108" s="37"/>
      <c r="U108" s="37" t="str">
        <f>IF(P108=""," ",(_xlfn.CONCAT(P108,VLOOKUP(P108,Dropdowns!$N$2:$R$19,2,1),Q108,VLOOKUP(P108,Dropdowns!$N$2:$R$19,3,1),R108,VLOOKUP(P108,Dropdowns!$N$2:$R$19,4,1),S108,Dropdowns!AB105,Dropdowns!R105,T108,)))</f>
        <v xml:space="preserve"> </v>
      </c>
    </row>
    <row r="109" spans="16:21" x14ac:dyDescent="0.25">
      <c r="P109" s="37"/>
      <c r="Q109" s="37"/>
      <c r="R109" s="37"/>
      <c r="S109" s="37"/>
      <c r="U109" s="37" t="str">
        <f>IF(P109=""," ",(_xlfn.CONCAT(P109,VLOOKUP(P109,Dropdowns!$N$2:$R$19,2,1),Q109,VLOOKUP(P109,Dropdowns!$N$2:$R$19,3,1),R109,VLOOKUP(P109,Dropdowns!$N$2:$R$19,4,1),S109,Dropdowns!AB106,Dropdowns!R106,T109,)))</f>
        <v xml:space="preserve"> </v>
      </c>
    </row>
    <row r="110" spans="16:21" x14ac:dyDescent="0.25">
      <c r="P110" s="37"/>
      <c r="Q110" s="37"/>
      <c r="R110" s="37"/>
      <c r="S110" s="37"/>
      <c r="U110" s="37" t="str">
        <f>IF(P110=""," ",(_xlfn.CONCAT(P110,VLOOKUP(P110,Dropdowns!$N$2:$R$19,2,1),Q110,VLOOKUP(P110,Dropdowns!$N$2:$R$19,3,1),R110,VLOOKUP(P110,Dropdowns!$N$2:$R$19,4,1),S110,Dropdowns!AB107,Dropdowns!R107,T110,)))</f>
        <v xml:space="preserve"> </v>
      </c>
    </row>
    <row r="111" spans="16:21" x14ac:dyDescent="0.25">
      <c r="P111" s="37"/>
      <c r="Q111" s="37"/>
      <c r="R111" s="37"/>
      <c r="S111" s="37"/>
      <c r="U111" s="37" t="str">
        <f>IF(P111=""," ",(_xlfn.CONCAT(P111,VLOOKUP(P111,Dropdowns!$N$2:$R$19,2,1),Q111,VLOOKUP(P111,Dropdowns!$N$2:$R$19,3,1),R111,VLOOKUP(P111,Dropdowns!$N$2:$R$19,4,1),S111,Dropdowns!AB108,Dropdowns!R108,T111,)))</f>
        <v xml:space="preserve"> </v>
      </c>
    </row>
    <row r="112" spans="16:21" x14ac:dyDescent="0.25">
      <c r="P112" s="37"/>
      <c r="Q112" s="37"/>
      <c r="R112" s="37"/>
      <c r="S112" s="37"/>
      <c r="U112" s="37" t="str">
        <f>IF(P112=""," ",(_xlfn.CONCAT(P112,VLOOKUP(P112,Dropdowns!$N$2:$R$19,2,1),Q112,VLOOKUP(P112,Dropdowns!$N$2:$R$19,3,1),R112,VLOOKUP(P112,Dropdowns!$N$2:$R$19,4,1),S112,Dropdowns!AB109,Dropdowns!R109,T112,)))</f>
        <v xml:space="preserve"> </v>
      </c>
    </row>
    <row r="113" spans="16:21" x14ac:dyDescent="0.25">
      <c r="P113" s="37"/>
      <c r="Q113" s="37"/>
      <c r="R113" s="37"/>
      <c r="S113" s="37"/>
      <c r="U113" s="37" t="str">
        <f>IF(P113=""," ",(_xlfn.CONCAT(P113,VLOOKUP(P113,Dropdowns!$N$2:$R$19,2,1),Q113,VLOOKUP(P113,Dropdowns!$N$2:$R$19,3,1),R113,VLOOKUP(P113,Dropdowns!$N$2:$R$19,4,1),S113,Dropdowns!AB110,Dropdowns!R110,T113,)))</f>
        <v xml:space="preserve"> </v>
      </c>
    </row>
    <row r="114" spans="16:21" x14ac:dyDescent="0.25">
      <c r="P114" s="37"/>
      <c r="Q114" s="37"/>
      <c r="R114" s="37"/>
      <c r="S114" s="37"/>
      <c r="U114" s="37" t="str">
        <f>IF(P114=""," ",(_xlfn.CONCAT(P114,VLOOKUP(P114,Dropdowns!$N$2:$R$19,2,1),Q114,VLOOKUP(P114,Dropdowns!$N$2:$R$19,3,1),R114,VLOOKUP(P114,Dropdowns!$N$2:$R$19,4,1),S114,Dropdowns!AB111,Dropdowns!R111,T114,)))</f>
        <v xml:space="preserve"> </v>
      </c>
    </row>
    <row r="115" spans="16:21" x14ac:dyDescent="0.25">
      <c r="P115" s="37"/>
      <c r="Q115" s="37"/>
      <c r="R115" s="37"/>
      <c r="S115" s="37"/>
      <c r="U115" s="37" t="str">
        <f>IF(P115=""," ",(_xlfn.CONCAT(P115,VLOOKUP(P115,Dropdowns!$N$2:$R$19,2,1),Q115,VLOOKUP(P115,Dropdowns!$N$2:$R$19,3,1),R115,VLOOKUP(P115,Dropdowns!$N$2:$R$19,4,1),S115,Dropdowns!AB112,Dropdowns!R112,T115,)))</f>
        <v xml:space="preserve"> </v>
      </c>
    </row>
    <row r="116" spans="16:21" x14ac:dyDescent="0.25">
      <c r="P116" s="37"/>
      <c r="Q116" s="37"/>
      <c r="R116" s="37"/>
      <c r="S116" s="37"/>
      <c r="U116" s="37" t="str">
        <f>IF(P116=""," ",(_xlfn.CONCAT(P116,VLOOKUP(P116,Dropdowns!$N$2:$R$19,2,1),Q116,VLOOKUP(P116,Dropdowns!$N$2:$R$19,3,1),R116,VLOOKUP(P116,Dropdowns!$N$2:$R$19,4,1),S116,Dropdowns!AB113,Dropdowns!R113,T116,)))</f>
        <v xml:space="preserve"> </v>
      </c>
    </row>
    <row r="117" spans="16:21" x14ac:dyDescent="0.25">
      <c r="P117" s="37"/>
      <c r="Q117" s="37"/>
      <c r="R117" s="37"/>
      <c r="S117" s="37"/>
      <c r="U117" s="37" t="str">
        <f>IF(P117=""," ",(_xlfn.CONCAT(P117,VLOOKUP(P117,Dropdowns!$N$2:$R$19,2,1),Q117,VLOOKUP(P117,Dropdowns!$N$2:$R$19,3,1),R117,VLOOKUP(P117,Dropdowns!$N$2:$R$19,4,1),S117,Dropdowns!AB114,Dropdowns!R114,T117,)))</f>
        <v xml:space="preserve"> </v>
      </c>
    </row>
    <row r="118" spans="16:21" x14ac:dyDescent="0.25">
      <c r="P118" s="37"/>
      <c r="Q118" s="37"/>
      <c r="R118" s="37"/>
      <c r="S118" s="37"/>
      <c r="U118" s="37" t="str">
        <f>IF(P118=""," ",(_xlfn.CONCAT(P118,VLOOKUP(P118,Dropdowns!$N$2:$R$19,2,1),Q118,VLOOKUP(P118,Dropdowns!$N$2:$R$19,3,1),R118,VLOOKUP(P118,Dropdowns!$N$2:$R$19,4,1),S118,Dropdowns!AB115,Dropdowns!R115,T118,)))</f>
        <v xml:space="preserve"> </v>
      </c>
    </row>
    <row r="119" spans="16:21" x14ac:dyDescent="0.25">
      <c r="P119" s="37"/>
      <c r="Q119" s="37"/>
      <c r="R119" s="37"/>
      <c r="S119" s="37"/>
      <c r="U119" s="37" t="str">
        <f>IF(P119=""," ",(_xlfn.CONCAT(P119,VLOOKUP(P119,Dropdowns!$N$2:$R$19,2,1),Q119,VLOOKUP(P119,Dropdowns!$N$2:$R$19,3,1),R119,VLOOKUP(P119,Dropdowns!$N$2:$R$19,4,1),S119,Dropdowns!AB116,Dropdowns!R116,T119,)))</f>
        <v xml:space="preserve"> </v>
      </c>
    </row>
    <row r="120" spans="16:21" x14ac:dyDescent="0.25">
      <c r="P120" s="37"/>
      <c r="Q120" s="37"/>
      <c r="R120" s="37"/>
      <c r="S120" s="37"/>
      <c r="U120" s="37" t="str">
        <f>IF(P120=""," ",(_xlfn.CONCAT(P120,VLOOKUP(P120,Dropdowns!$N$2:$R$19,2,1),Q120,VLOOKUP(P120,Dropdowns!$N$2:$R$19,3,1),R120,VLOOKUP(P120,Dropdowns!$N$2:$R$19,4,1),S120,Dropdowns!AB117,Dropdowns!R117,T120,)))</f>
        <v xml:space="preserve"> </v>
      </c>
    </row>
    <row r="121" spans="16:21" x14ac:dyDescent="0.25">
      <c r="P121" s="37"/>
      <c r="Q121" s="37"/>
      <c r="R121" s="37"/>
      <c r="S121" s="37"/>
      <c r="U121" s="37" t="str">
        <f>IF(P121=""," ",(_xlfn.CONCAT(P121,VLOOKUP(P121,Dropdowns!$N$2:$R$19,2,1),Q121,VLOOKUP(P121,Dropdowns!$N$2:$R$19,3,1),R121,VLOOKUP(P121,Dropdowns!$N$2:$R$19,4,1),S121,Dropdowns!AB118,Dropdowns!R118,T121,)))</f>
        <v xml:space="preserve"> </v>
      </c>
    </row>
    <row r="122" spans="16:21" x14ac:dyDescent="0.25">
      <c r="P122" s="37"/>
      <c r="Q122" s="37"/>
      <c r="R122" s="37"/>
      <c r="S122" s="37"/>
      <c r="U122" s="37" t="str">
        <f>IF(P122=""," ",(_xlfn.CONCAT(P122,VLOOKUP(P122,Dropdowns!$N$2:$R$19,2,1),Q122,VLOOKUP(P122,Dropdowns!$N$2:$R$19,3,1),R122,VLOOKUP(P122,Dropdowns!$N$2:$R$19,4,1),S122,Dropdowns!AB119,Dropdowns!R119,T122,)))</f>
        <v xml:space="preserve"> </v>
      </c>
    </row>
    <row r="123" spans="16:21" x14ac:dyDescent="0.25">
      <c r="P123" s="37"/>
      <c r="Q123" s="37"/>
      <c r="R123" s="37"/>
      <c r="S123" s="37"/>
      <c r="U123" s="37" t="str">
        <f>IF(P123=""," ",(_xlfn.CONCAT(P123,VLOOKUP(P123,Dropdowns!$N$2:$R$19,2,1),Q123,VLOOKUP(P123,Dropdowns!$N$2:$R$19,3,1),R123,VLOOKUP(P123,Dropdowns!$N$2:$R$19,4,1),S123,Dropdowns!AB120,Dropdowns!R120,T123,)))</f>
        <v xml:space="preserve"> </v>
      </c>
    </row>
    <row r="124" spans="16:21" x14ac:dyDescent="0.25">
      <c r="P124" s="37"/>
      <c r="Q124" s="37"/>
      <c r="R124" s="37"/>
      <c r="S124" s="37"/>
      <c r="U124" s="37" t="str">
        <f>IF(P124=""," ",(_xlfn.CONCAT(P124,VLOOKUP(P124,Dropdowns!$N$2:$R$19,2,1),Q124,VLOOKUP(P124,Dropdowns!$N$2:$R$19,3,1),R124,VLOOKUP(P124,Dropdowns!$N$2:$R$19,4,1),S124,Dropdowns!AB121,Dropdowns!R121,T124,)))</f>
        <v xml:space="preserve"> </v>
      </c>
    </row>
    <row r="125" spans="16:21" x14ac:dyDescent="0.25">
      <c r="P125" s="37"/>
      <c r="Q125" s="37"/>
      <c r="R125" s="37"/>
      <c r="S125" s="37"/>
      <c r="U125" s="37" t="str">
        <f>IF(P125=""," ",(_xlfn.CONCAT(P125,VLOOKUP(P125,Dropdowns!$N$2:$R$19,2,1),Q125,VLOOKUP(P125,Dropdowns!$N$2:$R$19,3,1),R125,VLOOKUP(P125,Dropdowns!$N$2:$R$19,4,1),S125,Dropdowns!AB122,Dropdowns!R122,T125,)))</f>
        <v xml:space="preserve"> </v>
      </c>
    </row>
    <row r="126" spans="16:21" x14ac:dyDescent="0.25">
      <c r="P126" s="37"/>
      <c r="Q126" s="37"/>
      <c r="R126" s="37"/>
      <c r="S126" s="37"/>
      <c r="U126" s="37" t="str">
        <f>IF(P126=""," ",(_xlfn.CONCAT(P126,VLOOKUP(P126,Dropdowns!$N$2:$R$19,2,1),Q126,VLOOKUP(P126,Dropdowns!$N$2:$R$19,3,1),R126,VLOOKUP(P126,Dropdowns!$N$2:$R$19,4,1),S126,Dropdowns!AB123,Dropdowns!R123,T126,)))</f>
        <v xml:space="preserve"> </v>
      </c>
    </row>
    <row r="127" spans="16:21" x14ac:dyDescent="0.25">
      <c r="P127" s="37"/>
      <c r="Q127" s="37"/>
      <c r="R127" s="37"/>
      <c r="S127" s="37"/>
      <c r="U127" s="37" t="str">
        <f>IF(P127=""," ",(_xlfn.CONCAT(P127,VLOOKUP(P127,Dropdowns!$N$2:$R$19,2,1),Q127,VLOOKUP(P127,Dropdowns!$N$2:$R$19,3,1),R127,VLOOKUP(P127,Dropdowns!$N$2:$R$19,4,1),S127,Dropdowns!AB124,Dropdowns!R124,T127,)))</f>
        <v xml:space="preserve"> </v>
      </c>
    </row>
    <row r="128" spans="16:21" x14ac:dyDescent="0.25">
      <c r="P128" s="37"/>
      <c r="Q128" s="37"/>
      <c r="R128" s="37"/>
      <c r="S128" s="37"/>
      <c r="U128" s="37" t="str">
        <f>IF(P128=""," ",(_xlfn.CONCAT(P128,VLOOKUP(P128,Dropdowns!$N$2:$R$19,2,1),Q128,VLOOKUP(P128,Dropdowns!$N$2:$R$19,3,1),R128,VLOOKUP(P128,Dropdowns!$N$2:$R$19,4,1),S128,Dropdowns!AB125,Dropdowns!R125,T128,)))</f>
        <v xml:space="preserve"> </v>
      </c>
    </row>
    <row r="129" spans="16:21" x14ac:dyDescent="0.25">
      <c r="P129" s="37"/>
      <c r="Q129" s="37"/>
      <c r="R129" s="37"/>
      <c r="S129" s="37"/>
      <c r="U129" s="37" t="str">
        <f>IF(P129=""," ",(_xlfn.CONCAT(P129,VLOOKUP(P129,Dropdowns!$N$2:$R$19,2,1),Q129,VLOOKUP(P129,Dropdowns!$N$2:$R$19,3,1),R129,VLOOKUP(P129,Dropdowns!$N$2:$R$19,4,1),S129,Dropdowns!AB126,Dropdowns!R126,T129,)))</f>
        <v xml:space="preserve"> </v>
      </c>
    </row>
    <row r="130" spans="16:21" x14ac:dyDescent="0.25">
      <c r="P130" s="37"/>
      <c r="Q130" s="37"/>
      <c r="R130" s="37"/>
      <c r="S130" s="37"/>
      <c r="U130" s="37" t="str">
        <f>IF(P130=""," ",(_xlfn.CONCAT(P130,VLOOKUP(P130,Dropdowns!$N$2:$R$19,2,1),Q130,VLOOKUP(P130,Dropdowns!$N$2:$R$19,3,1),R130,VLOOKUP(P130,Dropdowns!$N$2:$R$19,4,1),S130,Dropdowns!AB127,Dropdowns!R127,T130,)))</f>
        <v xml:space="preserve"> </v>
      </c>
    </row>
    <row r="131" spans="16:21" x14ac:dyDescent="0.25">
      <c r="P131" s="37"/>
      <c r="Q131" s="37"/>
      <c r="R131" s="37"/>
      <c r="S131" s="37"/>
      <c r="U131" s="37" t="str">
        <f>IF(P131=""," ",(_xlfn.CONCAT(P131,VLOOKUP(P131,Dropdowns!$N$2:$R$19,2,1),Q131,VLOOKUP(P131,Dropdowns!$N$2:$R$19,3,1),R131,VLOOKUP(P131,Dropdowns!$N$2:$R$19,4,1),S131,Dropdowns!AB128,Dropdowns!R128,T131,)))</f>
        <v xml:space="preserve"> </v>
      </c>
    </row>
    <row r="132" spans="16:21" x14ac:dyDescent="0.25">
      <c r="P132" s="37"/>
      <c r="Q132" s="37"/>
      <c r="R132" s="37"/>
      <c r="S132" s="37"/>
      <c r="U132" s="37" t="str">
        <f>IF(P132=""," ",(_xlfn.CONCAT(P132,VLOOKUP(P132,Dropdowns!$N$2:$R$19,2,1),Q132,VLOOKUP(P132,Dropdowns!$N$2:$R$19,3,1),R132,VLOOKUP(P132,Dropdowns!$N$2:$R$19,4,1),S132,Dropdowns!AB129,Dropdowns!R129,T132,)))</f>
        <v xml:space="preserve"> </v>
      </c>
    </row>
    <row r="133" spans="16:21" x14ac:dyDescent="0.25">
      <c r="P133" s="37"/>
      <c r="Q133" s="37"/>
      <c r="R133" s="37"/>
      <c r="S133" s="37"/>
      <c r="U133" s="37" t="str">
        <f>IF(P133=""," ",(_xlfn.CONCAT(P133,VLOOKUP(P133,Dropdowns!$N$2:$R$19,2,1),Q133,VLOOKUP(P133,Dropdowns!$N$2:$R$19,3,1),R133,VLOOKUP(P133,Dropdowns!$N$2:$R$19,4,1),S133,Dropdowns!AB130,Dropdowns!R130,T133,)))</f>
        <v xml:space="preserve"> </v>
      </c>
    </row>
    <row r="134" spans="16:21" x14ac:dyDescent="0.25">
      <c r="P134" s="37"/>
      <c r="Q134" s="37"/>
      <c r="R134" s="37"/>
      <c r="S134" s="37"/>
      <c r="U134" s="37" t="str">
        <f>IF(P134=""," ",(_xlfn.CONCAT(P134,VLOOKUP(P134,Dropdowns!$N$2:$R$19,2,1),Q134,VLOOKUP(P134,Dropdowns!$N$2:$R$19,3,1),R134,VLOOKUP(P134,Dropdowns!$N$2:$R$19,4,1),S134,Dropdowns!AB131,Dropdowns!R131,T134,)))</f>
        <v xml:space="preserve"> </v>
      </c>
    </row>
    <row r="135" spans="16:21" x14ac:dyDescent="0.25">
      <c r="P135" s="37"/>
      <c r="Q135" s="37"/>
      <c r="R135" s="37"/>
      <c r="S135" s="37"/>
      <c r="U135" s="37" t="str">
        <f>IF(P135=""," ",(_xlfn.CONCAT(P135,VLOOKUP(P135,Dropdowns!$N$2:$R$19,2,1),Q135,VLOOKUP(P135,Dropdowns!$N$2:$R$19,3,1),R135,VLOOKUP(P135,Dropdowns!$N$2:$R$19,4,1),S135,Dropdowns!AB132,Dropdowns!R132,T135,)))</f>
        <v xml:space="preserve"> </v>
      </c>
    </row>
    <row r="136" spans="16:21" x14ac:dyDescent="0.25">
      <c r="P136" s="37"/>
      <c r="Q136" s="37"/>
      <c r="R136" s="37"/>
      <c r="S136" s="37"/>
      <c r="U136" s="37" t="str">
        <f>IF(P136=""," ",(_xlfn.CONCAT(P136,VLOOKUP(P136,Dropdowns!$N$2:$R$19,2,1),Q136,VLOOKUP(P136,Dropdowns!$N$2:$R$19,3,1),R136,VLOOKUP(P136,Dropdowns!$N$2:$R$19,4,1),S136,Dropdowns!AB133,Dropdowns!R133,T136,)))</f>
        <v xml:space="preserve"> </v>
      </c>
    </row>
    <row r="137" spans="16:21" x14ac:dyDescent="0.25">
      <c r="P137" s="37"/>
      <c r="Q137" s="37"/>
      <c r="R137" s="37"/>
      <c r="S137" s="37"/>
      <c r="U137" s="37" t="str">
        <f>IF(P137=""," ",(_xlfn.CONCAT(P137,VLOOKUP(P137,Dropdowns!$N$2:$R$19,2,1),Q137,VLOOKUP(P137,Dropdowns!$N$2:$R$19,3,1),R137,VLOOKUP(P137,Dropdowns!$N$2:$R$19,4,1),S137,Dropdowns!AB134,Dropdowns!R134,T137,)))</f>
        <v xml:space="preserve"> </v>
      </c>
    </row>
    <row r="138" spans="16:21" x14ac:dyDescent="0.25">
      <c r="P138" s="37"/>
      <c r="Q138" s="37"/>
      <c r="R138" s="37"/>
      <c r="S138" s="37"/>
      <c r="U138" s="37" t="str">
        <f>IF(P138=""," ",(_xlfn.CONCAT(P138,VLOOKUP(P138,Dropdowns!$N$2:$R$19,2,1),Q138,VLOOKUP(P138,Dropdowns!$N$2:$R$19,3,1),R138,VLOOKUP(P138,Dropdowns!$N$2:$R$19,4,1),S138,Dropdowns!AB135,Dropdowns!R135,T138,)))</f>
        <v xml:space="preserve"> </v>
      </c>
    </row>
    <row r="139" spans="16:21" x14ac:dyDescent="0.25">
      <c r="P139" s="37"/>
      <c r="Q139" s="37"/>
      <c r="R139" s="37"/>
      <c r="S139" s="37"/>
      <c r="U139" s="37" t="str">
        <f>IF(P139=""," ",(_xlfn.CONCAT(P139,VLOOKUP(P139,Dropdowns!$N$2:$R$19,2,1),Q139,VLOOKUP(P139,Dropdowns!$N$2:$R$19,3,1),R139,VLOOKUP(P139,Dropdowns!$N$2:$R$19,4,1),S139,Dropdowns!AB136,Dropdowns!R136,T139,)))</f>
        <v xml:space="preserve"> </v>
      </c>
    </row>
    <row r="140" spans="16:21" x14ac:dyDescent="0.25">
      <c r="P140" s="37"/>
      <c r="Q140" s="37"/>
      <c r="R140" s="37"/>
      <c r="S140" s="37"/>
      <c r="U140" s="37" t="str">
        <f>IF(P140=""," ",(_xlfn.CONCAT(P140,VLOOKUP(P140,Dropdowns!$N$2:$R$19,2,1),Q140,VLOOKUP(P140,Dropdowns!$N$2:$R$19,3,1),R140,VLOOKUP(P140,Dropdowns!$N$2:$R$19,4,1),S140,Dropdowns!AB137,Dropdowns!R137,T140,)))</f>
        <v xml:space="preserve"> </v>
      </c>
    </row>
    <row r="141" spans="16:21" x14ac:dyDescent="0.25">
      <c r="P141" s="37"/>
      <c r="Q141" s="37"/>
      <c r="R141" s="37"/>
      <c r="S141" s="37"/>
      <c r="U141" s="37" t="str">
        <f>IF(P141=""," ",(_xlfn.CONCAT(P141,VLOOKUP(P141,Dropdowns!$N$2:$R$19,2,1),Q141,VLOOKUP(P141,Dropdowns!$N$2:$R$19,3,1),R141,VLOOKUP(P141,Dropdowns!$N$2:$R$19,4,1),S141,Dropdowns!AB138,Dropdowns!R138,T141,)))</f>
        <v xml:space="preserve"> </v>
      </c>
    </row>
    <row r="142" spans="16:21" x14ac:dyDescent="0.25">
      <c r="P142" s="37"/>
      <c r="Q142" s="37"/>
      <c r="R142" s="37"/>
      <c r="S142" s="37"/>
      <c r="U142" s="37" t="str">
        <f>IF(P142=""," ",(_xlfn.CONCAT(P142,VLOOKUP(P142,Dropdowns!$N$2:$R$19,2,1),Q142,VLOOKUP(P142,Dropdowns!$N$2:$R$19,3,1),R142,VLOOKUP(P142,Dropdowns!$N$2:$R$19,4,1),S142,Dropdowns!AB139,Dropdowns!R139,T142,)))</f>
        <v xml:space="preserve"> </v>
      </c>
    </row>
    <row r="143" spans="16:21" x14ac:dyDescent="0.25">
      <c r="P143" s="37"/>
      <c r="Q143" s="37"/>
      <c r="R143" s="37"/>
      <c r="S143" s="37"/>
      <c r="U143" s="37" t="str">
        <f>IF(P143=""," ",(_xlfn.CONCAT(P143,VLOOKUP(P143,Dropdowns!$N$2:$R$19,2,1),Q143,VLOOKUP(P143,Dropdowns!$N$2:$R$19,3,1),R143,VLOOKUP(P143,Dropdowns!$N$2:$R$19,4,1),S143,Dropdowns!AB140,Dropdowns!R140,T143,)))</f>
        <v xml:space="preserve"> </v>
      </c>
    </row>
    <row r="144" spans="16:21" x14ac:dyDescent="0.25">
      <c r="P144" s="37"/>
      <c r="Q144" s="37"/>
      <c r="R144" s="37"/>
      <c r="S144" s="37"/>
      <c r="U144" s="37" t="str">
        <f>IF(P144=""," ",(_xlfn.CONCAT(P144,VLOOKUP(P144,Dropdowns!$N$2:$R$19,2,1),Q144,VLOOKUP(P144,Dropdowns!$N$2:$R$19,3,1),R144,VLOOKUP(P144,Dropdowns!$N$2:$R$19,4,1),S144,Dropdowns!AB141,Dropdowns!R141,T144,)))</f>
        <v xml:space="preserve"> </v>
      </c>
    </row>
    <row r="145" spans="16:21" x14ac:dyDescent="0.25">
      <c r="P145" s="37"/>
      <c r="Q145" s="37"/>
      <c r="R145" s="37"/>
      <c r="S145" s="37"/>
      <c r="U145" s="37" t="str">
        <f>IF(P145=""," ",(_xlfn.CONCAT(P145,VLOOKUP(P145,Dropdowns!$N$2:$R$19,2,1),Q145,VLOOKUP(P145,Dropdowns!$N$2:$R$19,3,1),R145,VLOOKUP(P145,Dropdowns!$N$2:$R$19,4,1),S145,Dropdowns!AB142,Dropdowns!R142,T145,)))</f>
        <v xml:space="preserve"> </v>
      </c>
    </row>
    <row r="146" spans="16:21" x14ac:dyDescent="0.25">
      <c r="P146" s="37"/>
      <c r="Q146" s="37"/>
      <c r="R146" s="37"/>
      <c r="S146" s="37"/>
      <c r="U146" s="37" t="str">
        <f>IF(P146=""," ",(_xlfn.CONCAT(P146,VLOOKUP(P146,Dropdowns!$N$2:$R$19,2,1),Q146,VLOOKUP(P146,Dropdowns!$N$2:$R$19,3,1),R146,VLOOKUP(P146,Dropdowns!$N$2:$R$19,4,1),S146,Dropdowns!AB143,Dropdowns!R143,T146,)))</f>
        <v xml:space="preserve"> </v>
      </c>
    </row>
    <row r="147" spans="16:21" x14ac:dyDescent="0.25">
      <c r="P147" s="37"/>
      <c r="Q147" s="37"/>
      <c r="R147" s="37"/>
      <c r="S147" s="37"/>
      <c r="U147" s="37" t="str">
        <f>IF(P147=""," ",(_xlfn.CONCAT(P147,VLOOKUP(P147,Dropdowns!$N$2:$R$19,2,1),Q147,VLOOKUP(P147,Dropdowns!$N$2:$R$19,3,1),R147,VLOOKUP(P147,Dropdowns!$N$2:$R$19,4,1),S147,Dropdowns!AB144,Dropdowns!R144,T147,)))</f>
        <v xml:space="preserve"> </v>
      </c>
    </row>
    <row r="148" spans="16:21" x14ac:dyDescent="0.25">
      <c r="P148" s="37"/>
      <c r="Q148" s="37"/>
      <c r="R148" s="37"/>
      <c r="S148" s="37"/>
      <c r="U148" s="37" t="str">
        <f>IF(P148=""," ",(_xlfn.CONCAT(P148,VLOOKUP(P148,Dropdowns!$N$2:$R$19,2,1),Q148,VLOOKUP(P148,Dropdowns!$N$2:$R$19,3,1),R148,VLOOKUP(P148,Dropdowns!$N$2:$R$19,4,1),S148,Dropdowns!AB145,Dropdowns!R145,T148,)))</f>
        <v xml:space="preserve"> </v>
      </c>
    </row>
    <row r="149" spans="16:21" x14ac:dyDescent="0.25">
      <c r="P149" s="37"/>
      <c r="Q149" s="37"/>
      <c r="R149" s="37"/>
      <c r="S149" s="37"/>
      <c r="U149" s="37" t="str">
        <f>IF(P149=""," ",(_xlfn.CONCAT(P149,VLOOKUP(P149,Dropdowns!$N$2:$R$19,2,1),Q149,VLOOKUP(P149,Dropdowns!$N$2:$R$19,3,1),R149,VLOOKUP(P149,Dropdowns!$N$2:$R$19,4,1),S149,Dropdowns!AB146,Dropdowns!R146,T149,)))</f>
        <v xml:space="preserve"> </v>
      </c>
    </row>
    <row r="150" spans="16:21" x14ac:dyDescent="0.25">
      <c r="P150" s="37"/>
      <c r="Q150" s="37"/>
      <c r="R150" s="37"/>
      <c r="S150" s="37"/>
      <c r="U150" s="37" t="str">
        <f>IF(P150=""," ",(_xlfn.CONCAT(P150,VLOOKUP(P150,Dropdowns!$N$2:$R$19,2,1),Q150,VLOOKUP(P150,Dropdowns!$N$2:$R$19,3,1),R150,VLOOKUP(P150,Dropdowns!$N$2:$R$19,4,1),S150,Dropdowns!AB147,Dropdowns!R147,T150,)))</f>
        <v xml:space="preserve"> </v>
      </c>
    </row>
    <row r="151" spans="16:21" x14ac:dyDescent="0.25">
      <c r="P151" s="37"/>
      <c r="Q151" s="37"/>
      <c r="R151" s="37"/>
      <c r="S151" s="37"/>
      <c r="U151" s="37" t="str">
        <f>IF(P151=""," ",(_xlfn.CONCAT(P151,VLOOKUP(P151,Dropdowns!$N$2:$R$19,2,1),Q151,VLOOKUP(P151,Dropdowns!$N$2:$R$19,3,1),R151,VLOOKUP(P151,Dropdowns!$N$2:$R$19,4,1),S151,Dropdowns!AB148,Dropdowns!R148,T151,)))</f>
        <v xml:space="preserve"> </v>
      </c>
    </row>
    <row r="152" spans="16:21" x14ac:dyDescent="0.25">
      <c r="P152" s="37"/>
      <c r="Q152" s="37"/>
      <c r="R152" s="37"/>
      <c r="S152" s="37"/>
      <c r="U152" s="37" t="str">
        <f>IF(P152=""," ",(_xlfn.CONCAT(P152,VLOOKUP(P152,Dropdowns!$N$2:$R$19,2,1),Q152,VLOOKUP(P152,Dropdowns!$N$2:$R$19,3,1),R152,VLOOKUP(P152,Dropdowns!$N$2:$R$19,4,1),S152,Dropdowns!AB149,Dropdowns!R149,T152,)))</f>
        <v xml:space="preserve"> </v>
      </c>
    </row>
    <row r="153" spans="16:21" x14ac:dyDescent="0.25">
      <c r="P153" s="37"/>
      <c r="Q153" s="37"/>
      <c r="R153" s="37"/>
      <c r="S153" s="37"/>
      <c r="U153" s="37" t="str">
        <f>IF(P153=""," ",(_xlfn.CONCAT(P153,VLOOKUP(P153,Dropdowns!$N$2:$R$19,2,1),Q153,VLOOKUP(P153,Dropdowns!$N$2:$R$19,3,1),R153,VLOOKUP(P153,Dropdowns!$N$2:$R$19,4,1),S153,Dropdowns!AB150,Dropdowns!R150,T153,)))</f>
        <v xml:space="preserve"> </v>
      </c>
    </row>
    <row r="154" spans="16:21" x14ac:dyDescent="0.25">
      <c r="P154" s="37"/>
      <c r="Q154" s="37"/>
      <c r="R154" s="37"/>
      <c r="S154" s="37"/>
      <c r="U154" s="37" t="str">
        <f>IF(P154=""," ",(_xlfn.CONCAT(P154,VLOOKUP(P154,Dropdowns!$N$2:$R$19,2,1),Q154,VLOOKUP(P154,Dropdowns!$N$2:$R$19,3,1),R154,VLOOKUP(P154,Dropdowns!$N$2:$R$19,4,1),S154,Dropdowns!AB151,Dropdowns!R151,T154,)))</f>
        <v xml:space="preserve"> </v>
      </c>
    </row>
    <row r="155" spans="16:21" x14ac:dyDescent="0.25">
      <c r="P155" s="37"/>
      <c r="Q155" s="37"/>
      <c r="R155" s="37"/>
      <c r="S155" s="37"/>
      <c r="U155" s="37" t="str">
        <f>IF(P155=""," ",(_xlfn.CONCAT(P155,VLOOKUP(P155,Dropdowns!$N$2:$R$19,2,1),Q155,VLOOKUP(P155,Dropdowns!$N$2:$R$19,3,1),R155,VLOOKUP(P155,Dropdowns!$N$2:$R$19,4,1),S155,Dropdowns!AB152,Dropdowns!R152,T155,)))</f>
        <v xml:space="preserve"> </v>
      </c>
    </row>
    <row r="156" spans="16:21" x14ac:dyDescent="0.25">
      <c r="P156" s="37"/>
      <c r="Q156" s="37"/>
      <c r="R156" s="37"/>
      <c r="S156" s="37"/>
      <c r="U156" s="37" t="str">
        <f>IF(P156=""," ",(_xlfn.CONCAT(P156,VLOOKUP(P156,Dropdowns!$N$2:$R$19,2,1),Q156,VLOOKUP(P156,Dropdowns!$N$2:$R$19,3,1),R156,VLOOKUP(P156,Dropdowns!$N$2:$R$19,4,1),S156,Dropdowns!AB153,Dropdowns!R153,T156,)))</f>
        <v xml:space="preserve"> </v>
      </c>
    </row>
    <row r="157" spans="16:21" x14ac:dyDescent="0.25">
      <c r="P157" s="37"/>
      <c r="Q157" s="37"/>
      <c r="R157" s="37"/>
      <c r="S157" s="37"/>
      <c r="U157" s="37" t="str">
        <f>IF(P157=""," ",(_xlfn.CONCAT(P157,VLOOKUP(P157,Dropdowns!$N$2:$R$19,2,1),Q157,VLOOKUP(P157,Dropdowns!$N$2:$R$19,3,1),R157,VLOOKUP(P157,Dropdowns!$N$2:$R$19,4,1),S157,Dropdowns!AB154,Dropdowns!R154,T157,)))</f>
        <v xml:space="preserve"> </v>
      </c>
    </row>
    <row r="158" spans="16:21" x14ac:dyDescent="0.25">
      <c r="P158" s="37"/>
      <c r="Q158" s="37"/>
      <c r="R158" s="37"/>
      <c r="S158" s="37"/>
      <c r="U158" s="37" t="str">
        <f>IF(P158=""," ",(_xlfn.CONCAT(P158,VLOOKUP(P158,Dropdowns!$N$2:$R$19,2,1),Q158,VLOOKUP(P158,Dropdowns!$N$2:$R$19,3,1),R158,VLOOKUP(P158,Dropdowns!$N$2:$R$19,4,1),S158,Dropdowns!AB155,Dropdowns!R155,T158,)))</f>
        <v xml:space="preserve"> </v>
      </c>
    </row>
    <row r="159" spans="16:21" x14ac:dyDescent="0.25">
      <c r="P159" s="37"/>
      <c r="Q159" s="37"/>
      <c r="R159" s="37"/>
      <c r="U159" s="37" t="str">
        <f>IF(P159=""," ",(_xlfn.CONCAT(P159,VLOOKUP(P159,Dropdowns!$N$2:$R$19,2,1),Q159,VLOOKUP(P159,Dropdowns!$N$2:$R$19,3,1),R159,VLOOKUP(P159,Dropdowns!$N$2:$R$19,4,1),S159,Dropdowns!AB156,Dropdowns!R156,T159,)))</f>
        <v xml:space="preserve"> </v>
      </c>
    </row>
    <row r="160" spans="16:21" x14ac:dyDescent="0.25">
      <c r="P160" s="37"/>
      <c r="Q160" s="37"/>
      <c r="R160" s="37"/>
      <c r="U160" s="37" t="str">
        <f>IF(P160=""," ",(_xlfn.CONCAT(P160,VLOOKUP(P160,Dropdowns!$N$2:$R$19,2,1),Q160,VLOOKUP(P160,Dropdowns!$N$2:$R$19,3,1),R160,VLOOKUP(P160,Dropdowns!$N$2:$R$19,4,1),S160,Dropdowns!AB157,Dropdowns!R157,T160,)))</f>
        <v xml:space="preserve"> </v>
      </c>
    </row>
    <row r="161" spans="16:21" x14ac:dyDescent="0.25">
      <c r="P161" s="37"/>
      <c r="Q161" s="37"/>
      <c r="R161" s="37"/>
      <c r="U161" s="37" t="str">
        <f>IF(P161=""," ",(_xlfn.CONCAT(P161,VLOOKUP(P161,Dropdowns!$N$2:$R$19,2,1),Q161,VLOOKUP(P161,Dropdowns!$N$2:$R$19,3,1),R161,VLOOKUP(P161,Dropdowns!$N$2:$R$19,4,1),S161,Dropdowns!AB158,Dropdowns!R158,T161,)))</f>
        <v xml:space="preserve"> </v>
      </c>
    </row>
    <row r="162" spans="16:21" x14ac:dyDescent="0.25">
      <c r="P162" s="37"/>
      <c r="Q162" s="37"/>
      <c r="R162" s="37"/>
      <c r="U162" s="37" t="str">
        <f>IF(P162=""," ",(_xlfn.CONCAT(P162,VLOOKUP(P162,Dropdowns!$N$2:$R$19,2,1),Q162,VLOOKUP(P162,Dropdowns!$N$2:$R$19,3,1),R162,VLOOKUP(P162,Dropdowns!$N$2:$R$19,4,1),S162,Dropdowns!AB159,Dropdowns!R159,T162,)))</f>
        <v xml:space="preserve"> </v>
      </c>
    </row>
    <row r="163" spans="16:21" x14ac:dyDescent="0.25">
      <c r="P163" s="37"/>
      <c r="Q163" s="37"/>
      <c r="R163" s="37"/>
      <c r="U163" s="37" t="str">
        <f>IF(P163=""," ",(_xlfn.CONCAT(P163,VLOOKUP(P163,Dropdowns!$N$2:$R$19,2,1),Q163,VLOOKUP(P163,Dropdowns!$N$2:$R$19,3,1),R163,VLOOKUP(P163,Dropdowns!$N$2:$R$19,4,1),S163,Dropdowns!AB160,Dropdowns!R160,T163,)))</f>
        <v xml:space="preserve"> </v>
      </c>
    </row>
    <row r="164" spans="16:21" x14ac:dyDescent="0.25">
      <c r="P164" s="37"/>
      <c r="Q164" s="37"/>
      <c r="R164" s="37"/>
      <c r="U164" s="37" t="str">
        <f>IF(P164=""," ",(_xlfn.CONCAT(P164,VLOOKUP(P164,Dropdowns!$N$2:$R$19,2,1),Q164,VLOOKUP(P164,Dropdowns!$N$2:$R$19,3,1),R164,VLOOKUP(P164,Dropdowns!$N$2:$R$19,4,1),S164,Dropdowns!AB161,Dropdowns!R161,T164,)))</f>
        <v xml:space="preserve"> </v>
      </c>
    </row>
    <row r="165" spans="16:21" x14ac:dyDescent="0.25">
      <c r="P165" s="37"/>
      <c r="Q165" s="37"/>
      <c r="R165" s="37"/>
      <c r="U165" s="37" t="str">
        <f>IF(P165=""," ",(_xlfn.CONCAT(P165,VLOOKUP(P165,Dropdowns!$N$2:$R$19,2,1),Q165,VLOOKUP(P165,Dropdowns!$N$2:$R$19,3,1),R165,VLOOKUP(P165,Dropdowns!$N$2:$R$19,4,1),S165,Dropdowns!AB162,Dropdowns!R162,T165,)))</f>
        <v xml:space="preserve"> </v>
      </c>
    </row>
    <row r="166" spans="16:21" x14ac:dyDescent="0.25">
      <c r="P166" s="37"/>
      <c r="Q166" s="37"/>
      <c r="R166" s="37"/>
      <c r="U166" s="37" t="str">
        <f>IF(P166=""," ",(_xlfn.CONCAT(P166,VLOOKUP(P166,Dropdowns!$N$2:$R$19,2,1),Q166,VLOOKUP(P166,Dropdowns!$N$2:$R$19,3,1),R166,VLOOKUP(P166,Dropdowns!$N$2:$R$19,4,1),S166,Dropdowns!AB163,Dropdowns!R163,T166,)))</f>
        <v xml:space="preserve"> </v>
      </c>
    </row>
    <row r="167" spans="16:21" x14ac:dyDescent="0.25">
      <c r="P167" s="37"/>
      <c r="Q167" s="37"/>
      <c r="R167" s="37"/>
      <c r="U167" s="37" t="str">
        <f>IF(P167=""," ",(_xlfn.CONCAT(P167,VLOOKUP(P167,Dropdowns!$N$2:$R$19,2,1),Q167,VLOOKUP(P167,Dropdowns!$N$2:$R$19,3,1),R167,VLOOKUP(P167,Dropdowns!$N$2:$R$19,4,1),S167,Dropdowns!AB164,Dropdowns!R164,T167,)))</f>
        <v xml:space="preserve"> </v>
      </c>
    </row>
    <row r="168" spans="16:21" x14ac:dyDescent="0.25">
      <c r="P168" s="37"/>
      <c r="Q168" s="37"/>
      <c r="R168" s="37"/>
      <c r="U168" s="37" t="str">
        <f>IF(P168=""," ",(_xlfn.CONCAT(P168,VLOOKUP(P168,Dropdowns!$N$2:$R$19,2,1),Q168,VLOOKUP(P168,Dropdowns!$N$2:$R$19,3,1),R168,VLOOKUP(P168,Dropdowns!$N$2:$R$19,4,1),S168,Dropdowns!AB165,Dropdowns!R165,T168,)))</f>
        <v xml:space="preserve"> </v>
      </c>
    </row>
    <row r="169" spans="16:21" x14ac:dyDescent="0.25">
      <c r="P169" s="37"/>
      <c r="Q169" s="37"/>
      <c r="R169" s="37"/>
      <c r="U169" s="37" t="str">
        <f>IF(P169=""," ",(_xlfn.CONCAT(P169,VLOOKUP(P169,Dropdowns!$N$2:$R$19,2,1),Q169,VLOOKUP(P169,Dropdowns!$N$2:$R$19,3,1),R169,VLOOKUP(P169,Dropdowns!$N$2:$R$19,4,1),S169,Dropdowns!AB166,Dropdowns!R166,T169,)))</f>
        <v xml:space="preserve"> </v>
      </c>
    </row>
    <row r="170" spans="16:21" x14ac:dyDescent="0.25">
      <c r="P170" s="37"/>
      <c r="Q170" s="37"/>
      <c r="R170" s="37"/>
      <c r="U170" s="37" t="str">
        <f>IF(P170=""," ",(_xlfn.CONCAT(P170,VLOOKUP(P170,Dropdowns!$N$2:$R$19,2,1),Q170,VLOOKUP(P170,Dropdowns!$N$2:$R$19,3,1),R170,VLOOKUP(P170,Dropdowns!$N$2:$R$19,4,1),S170,Dropdowns!AB167,Dropdowns!R167,T170,)))</f>
        <v xml:space="preserve"> </v>
      </c>
    </row>
    <row r="171" spans="16:21" x14ac:dyDescent="0.25">
      <c r="P171" s="37"/>
      <c r="Q171" s="37"/>
      <c r="R171" s="37"/>
      <c r="U171" s="37" t="str">
        <f>IF(P171=""," ",(_xlfn.CONCAT(P171,VLOOKUP(P171,Dropdowns!$N$2:$R$19,2,1),Q171,VLOOKUP(P171,Dropdowns!$N$2:$R$19,3,1),R171,VLOOKUP(P171,Dropdowns!$N$2:$R$19,4,1),S171,Dropdowns!AB168,Dropdowns!R168,T171,)))</f>
        <v xml:space="preserve"> </v>
      </c>
    </row>
    <row r="172" spans="16:21" x14ac:dyDescent="0.25">
      <c r="P172" s="37"/>
      <c r="Q172" s="37"/>
      <c r="R172" s="37"/>
      <c r="U172" s="37" t="str">
        <f>IF(P172=""," ",(_xlfn.CONCAT(P172,VLOOKUP(P172,Dropdowns!$N$2:$R$19,2,1),Q172,VLOOKUP(P172,Dropdowns!$N$2:$R$19,3,1),R172,VLOOKUP(P172,Dropdowns!$N$2:$R$19,4,1),S172,Dropdowns!AB169,Dropdowns!R169,T172,)))</f>
        <v xml:space="preserve"> </v>
      </c>
    </row>
    <row r="173" spans="16:21" x14ac:dyDescent="0.25">
      <c r="P173" s="37"/>
      <c r="Q173" s="37"/>
      <c r="R173" s="37"/>
      <c r="U173" s="37" t="str">
        <f>IF(P173=""," ",(_xlfn.CONCAT(P173,VLOOKUP(P173,Dropdowns!$N$2:$R$19,2,1),Q173,VLOOKUP(P173,Dropdowns!$N$2:$R$19,3,1),R173,VLOOKUP(P173,Dropdowns!$N$2:$R$19,4,1),S173,Dropdowns!AB170,Dropdowns!R170,T173,)))</f>
        <v xml:space="preserve"> </v>
      </c>
    </row>
    <row r="174" spans="16:21" x14ac:dyDescent="0.25">
      <c r="P174" s="37"/>
      <c r="Q174" s="37"/>
      <c r="R174" s="37"/>
      <c r="U174" s="37" t="str">
        <f>IF(P174=""," ",(_xlfn.CONCAT(P174,VLOOKUP(P174,Dropdowns!$N$2:$R$19,2,1),Q174,VLOOKUP(P174,Dropdowns!$N$2:$R$19,3,1),R174,VLOOKUP(P174,Dropdowns!$N$2:$R$19,4,1),S174,Dropdowns!AB171,Dropdowns!R171,T174,)))</f>
        <v xml:space="preserve"> </v>
      </c>
    </row>
    <row r="175" spans="16:21" x14ac:dyDescent="0.25">
      <c r="P175" s="37"/>
      <c r="Q175" s="37"/>
      <c r="R175" s="37"/>
      <c r="U175" s="37" t="str">
        <f>IF(P175=""," ",(_xlfn.CONCAT(P175,VLOOKUP(P175,Dropdowns!$N$2:$R$19,2,1),Q175,VLOOKUP(P175,Dropdowns!$N$2:$R$19,3,1),R175,VLOOKUP(P175,Dropdowns!$N$2:$R$19,4,1),S175,Dropdowns!AB172,Dropdowns!R172,T175,)))</f>
        <v xml:space="preserve"> </v>
      </c>
    </row>
    <row r="176" spans="16:21" x14ac:dyDescent="0.25">
      <c r="P176" s="37"/>
      <c r="Q176" s="37"/>
      <c r="R176" s="37"/>
      <c r="U176" s="37" t="str">
        <f>IF(P176=""," ",(_xlfn.CONCAT(P176,VLOOKUP(P176,Dropdowns!$N$2:$R$19,2,1),Q176,VLOOKUP(P176,Dropdowns!$N$2:$R$19,3,1),R176,VLOOKUP(P176,Dropdowns!$N$2:$R$19,4,1),S176,Dropdowns!AB173,Dropdowns!R173,T176,)))</f>
        <v xml:space="preserve"> </v>
      </c>
    </row>
    <row r="177" spans="16:21" x14ac:dyDescent="0.25">
      <c r="P177" s="37"/>
      <c r="Q177" s="37"/>
      <c r="R177" s="37"/>
      <c r="U177" s="37" t="str">
        <f>IF(P177=""," ",(_xlfn.CONCAT(P177,VLOOKUP(P177,Dropdowns!$N$2:$R$19,2,1),Q177,VLOOKUP(P177,Dropdowns!$N$2:$R$19,3,1),R177,VLOOKUP(P177,Dropdowns!$N$2:$R$19,4,1),S177,Dropdowns!AB174,Dropdowns!R174,T177,)))</f>
        <v xml:space="preserve"> </v>
      </c>
    </row>
    <row r="178" spans="16:21" x14ac:dyDescent="0.25">
      <c r="P178" s="37"/>
      <c r="Q178" s="37"/>
      <c r="R178" s="37"/>
      <c r="U178" s="37" t="str">
        <f>IF(P178=""," ",(_xlfn.CONCAT(P178,VLOOKUP(P178,Dropdowns!$N$2:$R$19,2,1),Q178,VLOOKUP(P178,Dropdowns!$N$2:$R$19,3,1),R178,VLOOKUP(P178,Dropdowns!$N$2:$R$19,4,1),S178,Dropdowns!AB175,Dropdowns!R175,T178,)))</f>
        <v xml:space="preserve"> </v>
      </c>
    </row>
    <row r="179" spans="16:21" x14ac:dyDescent="0.25">
      <c r="P179" s="37"/>
      <c r="Q179" s="37"/>
      <c r="R179" s="37"/>
      <c r="U179" s="37" t="str">
        <f>IF(P179=""," ",(_xlfn.CONCAT(P179,VLOOKUP(P179,Dropdowns!$N$2:$R$19,2,1),Q179,VLOOKUP(P179,Dropdowns!$N$2:$R$19,3,1),R179,VLOOKUP(P179,Dropdowns!$N$2:$R$19,4,1),S179,Dropdowns!AB176,Dropdowns!R176,T179,)))</f>
        <v xml:space="preserve"> </v>
      </c>
    </row>
    <row r="180" spans="16:21" x14ac:dyDescent="0.25">
      <c r="P180" s="37"/>
      <c r="Q180" s="37"/>
      <c r="R180" s="37"/>
      <c r="U180" s="37" t="str">
        <f>IF(P180=""," ",(_xlfn.CONCAT(P180,VLOOKUP(P180,Dropdowns!$N$2:$R$19,2,1),Q180,VLOOKUP(P180,Dropdowns!$N$2:$R$19,3,1),R180,VLOOKUP(P180,Dropdowns!$N$2:$R$19,4,1),S180,Dropdowns!AB177,Dropdowns!R177,T180,)))</f>
        <v xml:space="preserve"> </v>
      </c>
    </row>
    <row r="181" spans="16:21" x14ac:dyDescent="0.25">
      <c r="P181" s="37"/>
      <c r="Q181" s="37"/>
      <c r="R181" s="37"/>
      <c r="U181" s="37" t="str">
        <f>IF(P181=""," ",(_xlfn.CONCAT(P181,VLOOKUP(P181,Dropdowns!$N$2:$R$19,2,1),Q181,VLOOKUP(P181,Dropdowns!$N$2:$R$19,3,1),R181,VLOOKUP(P181,Dropdowns!$N$2:$R$19,4,1),S181,Dropdowns!AB178,Dropdowns!R178,T181,)))</f>
        <v xml:space="preserve"> </v>
      </c>
    </row>
    <row r="182" spans="16:21" x14ac:dyDescent="0.25">
      <c r="P182" s="37"/>
      <c r="Q182" s="37"/>
      <c r="R182" s="37"/>
      <c r="U182" s="37" t="str">
        <f>IF(P182=""," ",(_xlfn.CONCAT(P182,VLOOKUP(P182,Dropdowns!$N$2:$R$19,2,1),Q182,VLOOKUP(P182,Dropdowns!$N$2:$R$19,3,1),R182,VLOOKUP(P182,Dropdowns!$N$2:$R$19,4,1),S182,Dropdowns!AB179,Dropdowns!R179,T182,)))</f>
        <v xml:space="preserve"> </v>
      </c>
    </row>
    <row r="183" spans="16:21" x14ac:dyDescent="0.25">
      <c r="P183" s="37"/>
      <c r="Q183" s="37"/>
      <c r="R183" s="37"/>
      <c r="U183" s="37" t="str">
        <f>IF(P183=""," ",(_xlfn.CONCAT(P183,VLOOKUP(P183,Dropdowns!$N$2:$R$19,2,1),Q183,VLOOKUP(P183,Dropdowns!$N$2:$R$19,3,1),R183,VLOOKUP(P183,Dropdowns!$N$2:$R$19,4,1),S183,Dropdowns!AB180,Dropdowns!R180,T183,)))</f>
        <v xml:space="preserve"> </v>
      </c>
    </row>
    <row r="184" spans="16:21" x14ac:dyDescent="0.25">
      <c r="P184" s="37"/>
      <c r="Q184" s="37"/>
      <c r="R184" s="37"/>
      <c r="U184" s="37" t="str">
        <f>IF(P184=""," ",(_xlfn.CONCAT(P184,VLOOKUP(P184,Dropdowns!$N$2:$R$19,2,1),Q184,VLOOKUP(P184,Dropdowns!$N$2:$R$19,3,1),R184,VLOOKUP(P184,Dropdowns!$N$2:$R$19,4,1),S184,Dropdowns!AB181,Dropdowns!R181,T184,)))</f>
        <v xml:space="preserve"> </v>
      </c>
    </row>
    <row r="185" spans="16:21" x14ac:dyDescent="0.25">
      <c r="P185" s="37"/>
      <c r="Q185" s="37"/>
      <c r="R185" s="37"/>
      <c r="U185" s="37" t="str">
        <f>IF(P185=""," ",(_xlfn.CONCAT(P185,VLOOKUP(P185,Dropdowns!$N$2:$R$19,2,1),Q185,VLOOKUP(P185,Dropdowns!$N$2:$R$19,3,1),R185,VLOOKUP(P185,Dropdowns!$N$2:$R$19,4,1),S185,Dropdowns!AB182,Dropdowns!R182,T185,)))</f>
        <v xml:space="preserve"> </v>
      </c>
    </row>
    <row r="186" spans="16:21" x14ac:dyDescent="0.25">
      <c r="P186" s="37"/>
      <c r="Q186" s="37"/>
      <c r="R186" s="37"/>
      <c r="U186" s="37" t="str">
        <f>IF(P186=""," ",(_xlfn.CONCAT(P186,VLOOKUP(P186,Dropdowns!$N$2:$R$19,2,1),Q186,VLOOKUP(P186,Dropdowns!$N$2:$R$19,3,1),R186,VLOOKUP(P186,Dropdowns!$N$2:$R$19,4,1),S186,Dropdowns!AB183,Dropdowns!R183,T186,)))</f>
        <v xml:space="preserve"> </v>
      </c>
    </row>
    <row r="187" spans="16:21" x14ac:dyDescent="0.25">
      <c r="P187" s="37"/>
      <c r="Q187" s="37"/>
      <c r="R187" s="37"/>
      <c r="U187" s="37" t="str">
        <f>IF(P187=""," ",(_xlfn.CONCAT(P187,VLOOKUP(P187,Dropdowns!$N$2:$R$19,2,1),Q187,VLOOKUP(P187,Dropdowns!$N$2:$R$19,3,1),R187,VLOOKUP(P187,Dropdowns!$N$2:$R$19,4,1),S187,Dropdowns!AB184,Dropdowns!R184,T187,)))</f>
        <v xml:space="preserve"> </v>
      </c>
    </row>
    <row r="188" spans="16:21" x14ac:dyDescent="0.25">
      <c r="P188" s="37"/>
      <c r="Q188" s="37"/>
      <c r="R188" s="37"/>
      <c r="U188" s="37" t="str">
        <f>IF(P188=""," ",(_xlfn.CONCAT(P188,VLOOKUP(P188,Dropdowns!$N$2:$R$19,2,1),Q188,VLOOKUP(P188,Dropdowns!$N$2:$R$19,3,1),R188,VLOOKUP(P188,Dropdowns!$N$2:$R$19,4,1),S188,Dropdowns!AB185,Dropdowns!R185,T188,)))</f>
        <v xml:space="preserve"> </v>
      </c>
    </row>
    <row r="189" spans="16:21" x14ac:dyDescent="0.25">
      <c r="P189" s="37"/>
      <c r="Q189" s="37"/>
      <c r="R189" s="37"/>
      <c r="U189" s="37" t="str">
        <f>IF(P189=""," ",(_xlfn.CONCAT(P189,VLOOKUP(P189,Dropdowns!$N$2:$R$19,2,1),Q189,VLOOKUP(P189,Dropdowns!$N$2:$R$19,3,1),R189,VLOOKUP(P189,Dropdowns!$N$2:$R$19,4,1),S189,Dropdowns!AB186,Dropdowns!R186,T189,)))</f>
        <v xml:space="preserve"> </v>
      </c>
    </row>
    <row r="190" spans="16:21" x14ac:dyDescent="0.25">
      <c r="P190" s="37"/>
      <c r="Q190" s="37"/>
      <c r="R190" s="37"/>
      <c r="U190" s="37" t="str">
        <f>IF(P190=""," ",(_xlfn.CONCAT(P190,VLOOKUP(P190,Dropdowns!$N$2:$R$19,2,1),Q190,VLOOKUP(P190,Dropdowns!$N$2:$R$19,3,1),R190,VLOOKUP(P190,Dropdowns!$N$2:$R$19,4,1),S190,Dropdowns!AB187,Dropdowns!R187,T190,)))</f>
        <v xml:space="preserve"> </v>
      </c>
    </row>
    <row r="191" spans="16:21" x14ac:dyDescent="0.25">
      <c r="P191" s="37"/>
      <c r="Q191" s="37"/>
      <c r="R191" s="37"/>
      <c r="U191" s="37" t="str">
        <f>IF(P191=""," ",(_xlfn.CONCAT(P191,VLOOKUP(P191,Dropdowns!$N$2:$R$19,2,1),Q191,VLOOKUP(P191,Dropdowns!$N$2:$R$19,3,1),R191,VLOOKUP(P191,Dropdowns!$N$2:$R$19,4,1),S191,Dropdowns!AB188,Dropdowns!R188,T191,)))</f>
        <v xml:space="preserve"> </v>
      </c>
    </row>
    <row r="192" spans="16:21" x14ac:dyDescent="0.25">
      <c r="P192" s="37"/>
      <c r="Q192" s="37"/>
      <c r="R192" s="37"/>
      <c r="U192" s="37" t="str">
        <f>IF(P192=""," ",(_xlfn.CONCAT(P192,VLOOKUP(P192,Dropdowns!$N$2:$R$19,2,1),Q192,VLOOKUP(P192,Dropdowns!$N$2:$R$19,3,1),R192,VLOOKUP(P192,Dropdowns!$N$2:$R$19,4,1),S192,Dropdowns!AB189,Dropdowns!R189,T192,)))</f>
        <v xml:space="preserve"> </v>
      </c>
    </row>
    <row r="193" spans="16:21" x14ac:dyDescent="0.25">
      <c r="P193" s="37"/>
      <c r="Q193" s="37"/>
      <c r="R193" s="37"/>
      <c r="U193" s="37" t="str">
        <f>IF(P193=""," ",(_xlfn.CONCAT(P193,VLOOKUP(P193,Dropdowns!$N$2:$R$19,2,1),Q193,VLOOKUP(P193,Dropdowns!$N$2:$R$19,3,1),R193,VLOOKUP(P193,Dropdowns!$N$2:$R$19,4,1),S193,Dropdowns!AB190,Dropdowns!R190,T193,)))</f>
        <v xml:space="preserve"> </v>
      </c>
    </row>
    <row r="194" spans="16:21" x14ac:dyDescent="0.25">
      <c r="P194" s="37"/>
      <c r="Q194" s="37"/>
      <c r="R194" s="37"/>
      <c r="U194" s="37" t="str">
        <f>IF(P194=""," ",(_xlfn.CONCAT(P194,VLOOKUP(P194,Dropdowns!$N$2:$R$19,2,1),Q194,VLOOKUP(P194,Dropdowns!$N$2:$R$19,3,1),R194,VLOOKUP(P194,Dropdowns!$N$2:$R$19,4,1),S194,Dropdowns!AB191,Dropdowns!R191,T194,)))</f>
        <v xml:space="preserve"> </v>
      </c>
    </row>
    <row r="195" spans="16:21" x14ac:dyDescent="0.25">
      <c r="P195" s="37"/>
      <c r="Q195" s="37"/>
      <c r="R195" s="37"/>
      <c r="U195" s="37" t="str">
        <f>IF(P195=""," ",(_xlfn.CONCAT(P195,VLOOKUP(P195,Dropdowns!$N$2:$R$19,2,1),Q195,VLOOKUP(P195,Dropdowns!$N$2:$R$19,3,1),R195,VLOOKUP(P195,Dropdowns!$N$2:$R$19,4,1),S195,Dropdowns!AB192,Dropdowns!R192,T195,)))</f>
        <v xml:space="preserve"> </v>
      </c>
    </row>
    <row r="196" spans="16:21" x14ac:dyDescent="0.25">
      <c r="P196" s="37"/>
      <c r="Q196" s="37"/>
      <c r="R196" s="37"/>
      <c r="U196" s="37" t="str">
        <f>IF(P196=""," ",(_xlfn.CONCAT(P196,VLOOKUP(P196,Dropdowns!$N$2:$R$19,2,1),Q196,VLOOKUP(P196,Dropdowns!$N$2:$R$19,3,1),R196,VLOOKUP(P196,Dropdowns!$N$2:$R$19,4,1),S196,Dropdowns!AB193,Dropdowns!R193,T196,)))</f>
        <v xml:space="preserve"> </v>
      </c>
    </row>
    <row r="197" spans="16:21" x14ac:dyDescent="0.25">
      <c r="P197" s="37"/>
      <c r="Q197" s="37"/>
      <c r="R197" s="37"/>
      <c r="U197" s="37" t="str">
        <f>IF(P197=""," ",(_xlfn.CONCAT(P197,VLOOKUP(P197,Dropdowns!$N$2:$R$19,2,1),Q197,VLOOKUP(P197,Dropdowns!$N$2:$R$19,3,1),R197,VLOOKUP(P197,Dropdowns!$N$2:$R$19,4,1),S197,Dropdowns!AB194,Dropdowns!R194,T197,)))</f>
        <v xml:space="preserve"> </v>
      </c>
    </row>
    <row r="198" spans="16:21" x14ac:dyDescent="0.25">
      <c r="P198" s="37"/>
      <c r="Q198" s="37"/>
      <c r="R198" s="37"/>
      <c r="U198" s="37" t="str">
        <f>IF(P198=""," ",(_xlfn.CONCAT(P198,VLOOKUP(P198,Dropdowns!$N$2:$R$19,2,1),Q198,VLOOKUP(P198,Dropdowns!$N$2:$R$19,3,1),R198,VLOOKUP(P198,Dropdowns!$N$2:$R$19,4,1),S198,Dropdowns!AB195,Dropdowns!R195,T198,)))</f>
        <v xml:space="preserve"> </v>
      </c>
    </row>
    <row r="199" spans="16:21" x14ac:dyDescent="0.25">
      <c r="P199" s="37"/>
      <c r="Q199" s="37"/>
      <c r="R199" s="37"/>
      <c r="U199" s="37" t="str">
        <f>IF(P199=""," ",(_xlfn.CONCAT(P199,VLOOKUP(P199,Dropdowns!$N$2:$R$19,2,1),Q199,VLOOKUP(P199,Dropdowns!$N$2:$R$19,3,1),R199,VLOOKUP(P199,Dropdowns!$N$2:$R$19,4,1),S199,Dropdowns!AB196,Dropdowns!R196,T199,)))</f>
        <v xml:space="preserve"> </v>
      </c>
    </row>
    <row r="200" spans="16:21" x14ac:dyDescent="0.25">
      <c r="P200" s="37"/>
      <c r="Q200" s="37"/>
      <c r="R200" s="37"/>
      <c r="U200" s="37" t="str">
        <f>IF(P200=""," ",(_xlfn.CONCAT(P200,VLOOKUP(P200,Dropdowns!$N$2:$R$19,2,1),Q200,VLOOKUP(P200,Dropdowns!$N$2:$R$19,3,1),R200,VLOOKUP(P200,Dropdowns!$N$2:$R$19,4,1),S200,Dropdowns!AB197,Dropdowns!R197,T200,)))</f>
        <v xml:space="preserve"> </v>
      </c>
    </row>
    <row r="201" spans="16:21" x14ac:dyDescent="0.25">
      <c r="P201" s="37"/>
      <c r="Q201" s="37"/>
      <c r="R201" s="37"/>
      <c r="U201" s="37" t="str">
        <f>IF(P201=""," ",(_xlfn.CONCAT(P201,VLOOKUP(P201,Dropdowns!$N$2:$R$19,2,1),Q201,VLOOKUP(P201,Dropdowns!$N$2:$R$19,3,1),R201,VLOOKUP(P201,Dropdowns!$N$2:$R$19,4,1),S201,Dropdowns!AB198,Dropdowns!R198,T201,)))</f>
        <v xml:space="preserve"> </v>
      </c>
    </row>
    <row r="202" spans="16:21" x14ac:dyDescent="0.25">
      <c r="P202" s="37"/>
      <c r="Q202" s="37"/>
      <c r="R202" s="37"/>
      <c r="U202" s="37" t="str">
        <f>IF(P202=""," ",(_xlfn.CONCAT(P202,VLOOKUP(P202,Dropdowns!$N$2:$R$19,2,1),Q202,VLOOKUP(P202,Dropdowns!$N$2:$R$19,3,1),R202,VLOOKUP(P202,Dropdowns!$N$2:$R$19,4,1),S202,Dropdowns!AB199,Dropdowns!R199,T202,)))</f>
        <v xml:space="preserve"> </v>
      </c>
    </row>
    <row r="203" spans="16:21" x14ac:dyDescent="0.25">
      <c r="P203" s="37"/>
      <c r="Q203" s="37"/>
      <c r="R203" s="37"/>
      <c r="U203" s="37" t="str">
        <f>IF(P203=""," ",(_xlfn.CONCAT(P203,VLOOKUP(P203,Dropdowns!$N$2:$R$19,2,1),Q203,VLOOKUP(P203,Dropdowns!$N$2:$R$19,3,1),R203,VLOOKUP(P203,Dropdowns!$N$2:$R$19,4,1),S203,Dropdowns!AB200,Dropdowns!R200,T203,)))</f>
        <v xml:space="preserve"> </v>
      </c>
    </row>
    <row r="204" spans="16:21" x14ac:dyDescent="0.25">
      <c r="P204" s="37"/>
      <c r="Q204" s="37"/>
      <c r="R204" s="37"/>
      <c r="U204" s="37" t="str">
        <f>IF(P204=""," ",(_xlfn.CONCAT(P204,VLOOKUP(P204,Dropdowns!$N$2:$R$19,2,1),Q204,VLOOKUP(P204,Dropdowns!$N$2:$R$19,3,1),R204,VLOOKUP(P204,Dropdowns!$N$2:$R$19,4,1),S204,Dropdowns!AB201,Dropdowns!R201,T204,)))</f>
        <v xml:space="preserve"> </v>
      </c>
    </row>
    <row r="205" spans="16:21" x14ac:dyDescent="0.25">
      <c r="P205" s="37"/>
      <c r="Q205" s="37"/>
      <c r="R205" s="37"/>
      <c r="U205" s="37" t="str">
        <f>IF(P205=""," ",(_xlfn.CONCAT(P205,VLOOKUP(P205,Dropdowns!$N$2:$R$19,2,1),Q205,VLOOKUP(P205,Dropdowns!$N$2:$R$19,3,1),R205,VLOOKUP(P205,Dropdowns!$N$2:$R$19,4,1),S205,Dropdowns!AB202,Dropdowns!R202,T205,)))</f>
        <v xml:space="preserve"> </v>
      </c>
    </row>
    <row r="206" spans="16:21" x14ac:dyDescent="0.25">
      <c r="P206" s="37"/>
      <c r="Q206" s="37"/>
      <c r="R206" s="37"/>
      <c r="U206" s="37" t="str">
        <f>IF(P206=""," ",(_xlfn.CONCAT(P206,VLOOKUP(P206,Dropdowns!$N$2:$R$19,2,1),Q206,VLOOKUP(P206,Dropdowns!$N$2:$R$19,3,1),R206,VLOOKUP(P206,Dropdowns!$N$2:$R$19,4,1),S206,Dropdowns!AB203,Dropdowns!R203,T206,)))</f>
        <v xml:space="preserve"> </v>
      </c>
    </row>
    <row r="207" spans="16:21" x14ac:dyDescent="0.25">
      <c r="P207" s="37"/>
      <c r="Q207" s="37"/>
      <c r="R207" s="37"/>
      <c r="U207" s="37" t="str">
        <f>IF(P207=""," ",(_xlfn.CONCAT(P207,VLOOKUP(P207,Dropdowns!$N$2:$R$19,2,1),Q207,VLOOKUP(P207,Dropdowns!$N$2:$R$19,3,1),R207,VLOOKUP(P207,Dropdowns!$N$2:$R$19,4,1),S207,Dropdowns!AB204,Dropdowns!R204,T207,)))</f>
        <v xml:space="preserve"> </v>
      </c>
    </row>
    <row r="208" spans="16:21" x14ac:dyDescent="0.25">
      <c r="P208" s="37"/>
      <c r="Q208" s="37"/>
      <c r="R208" s="37"/>
      <c r="U208" s="37" t="str">
        <f>IF(P208=""," ",(_xlfn.CONCAT(P208,VLOOKUP(P208,Dropdowns!$N$2:$R$19,2,1),Q208,VLOOKUP(P208,Dropdowns!$N$2:$R$19,3,1),R208,VLOOKUP(P208,Dropdowns!$N$2:$R$19,4,1),S208,Dropdowns!AB205,Dropdowns!R205,T208,)))</f>
        <v xml:space="preserve"> </v>
      </c>
    </row>
    <row r="209" spans="16:21" x14ac:dyDescent="0.25">
      <c r="P209" s="37"/>
      <c r="Q209" s="37"/>
      <c r="R209" s="37"/>
      <c r="U209" s="37" t="str">
        <f>IF(P209=""," ",(_xlfn.CONCAT(P209,VLOOKUP(P209,Dropdowns!$N$2:$R$19,2,1),Q209,VLOOKUP(P209,Dropdowns!$N$2:$R$19,3,1),R209,VLOOKUP(P209,Dropdowns!$N$2:$R$19,4,1),S209,Dropdowns!AB206,Dropdowns!R206,T209,)))</f>
        <v xml:space="preserve"> </v>
      </c>
    </row>
    <row r="210" spans="16:21" x14ac:dyDescent="0.25">
      <c r="P210" s="37"/>
      <c r="Q210" s="37"/>
      <c r="R210" s="37"/>
      <c r="U210" s="37" t="str">
        <f>IF(P210=""," ",(_xlfn.CONCAT(P210,VLOOKUP(P210,Dropdowns!$N$2:$R$19,2,1),Q210,VLOOKUP(P210,Dropdowns!$N$2:$R$19,3,1),R210,VLOOKUP(P210,Dropdowns!$N$2:$R$19,4,1),S210,Dropdowns!AB207,Dropdowns!R207,T210,)))</f>
        <v xml:space="preserve"> </v>
      </c>
    </row>
    <row r="211" spans="16:21" x14ac:dyDescent="0.25">
      <c r="P211" s="37"/>
      <c r="Q211" s="37"/>
      <c r="R211" s="37"/>
      <c r="U211" s="37" t="str">
        <f>IF(P211=""," ",(_xlfn.CONCAT(P211,VLOOKUP(P211,Dropdowns!$N$2:$R$19,2,1),Q211,VLOOKUP(P211,Dropdowns!$N$2:$R$19,3,1),R211,VLOOKUP(P211,Dropdowns!$N$2:$R$19,4,1),S211,Dropdowns!AB208,Dropdowns!R208,T211,)))</f>
        <v xml:space="preserve"> </v>
      </c>
    </row>
    <row r="212" spans="16:21" x14ac:dyDescent="0.25">
      <c r="P212" s="37"/>
      <c r="Q212" s="37"/>
      <c r="R212" s="37"/>
      <c r="U212" s="37" t="str">
        <f>IF(P212=""," ",(_xlfn.CONCAT(P212,VLOOKUP(P212,Dropdowns!$N$2:$R$19,2,1),Q212,VLOOKUP(P212,Dropdowns!$N$2:$R$19,3,1),R212,VLOOKUP(P212,Dropdowns!$N$2:$R$19,4,1),S212,Dropdowns!AB209,Dropdowns!R209,T212,)))</f>
        <v xml:space="preserve"> </v>
      </c>
    </row>
    <row r="213" spans="16:21" x14ac:dyDescent="0.25">
      <c r="P213" s="37"/>
      <c r="Q213" s="37"/>
      <c r="R213" s="37"/>
      <c r="U213" s="37" t="str">
        <f>IF(P213=""," ",(_xlfn.CONCAT(P213,VLOOKUP(P213,Dropdowns!$N$2:$R$19,2,1),Q213,VLOOKUP(P213,Dropdowns!$N$2:$R$19,3,1),R213,VLOOKUP(P213,Dropdowns!$N$2:$R$19,4,1),S213,Dropdowns!AB210,Dropdowns!R210,T213,)))</f>
        <v xml:space="preserve"> </v>
      </c>
    </row>
    <row r="214" spans="16:21" x14ac:dyDescent="0.25">
      <c r="P214" s="37"/>
      <c r="Q214" s="37"/>
      <c r="R214" s="37"/>
      <c r="U214" s="37" t="str">
        <f>IF(P214=""," ",(_xlfn.CONCAT(P214,VLOOKUP(P214,Dropdowns!$N$2:$R$19,2,1),Q214,VLOOKUP(P214,Dropdowns!$N$2:$R$19,3,1),R214,VLOOKUP(P214,Dropdowns!$N$2:$R$19,4,1),S214,Dropdowns!AB211,Dropdowns!R211,T214,)))</f>
        <v xml:space="preserve"> </v>
      </c>
    </row>
    <row r="215" spans="16:21" x14ac:dyDescent="0.25">
      <c r="P215" s="37"/>
      <c r="Q215" s="37"/>
      <c r="R215" s="37"/>
      <c r="U215" s="37" t="str">
        <f>IF(P215=""," ",(_xlfn.CONCAT(P215,VLOOKUP(P215,Dropdowns!$N$2:$R$19,2,1),Q215,VLOOKUP(P215,Dropdowns!$N$2:$R$19,3,1),R215,VLOOKUP(P215,Dropdowns!$N$2:$R$19,4,1),S215,Dropdowns!AB212,Dropdowns!R212,T215,)))</f>
        <v xml:space="preserve"> </v>
      </c>
    </row>
    <row r="216" spans="16:21" x14ac:dyDescent="0.25">
      <c r="Q216" s="37"/>
      <c r="R216" s="37"/>
      <c r="U216" s="37" t="str">
        <f>IF(P216=""," ",(_xlfn.CONCAT(P216,VLOOKUP(P216,Dropdowns!$N$2:$R$19,2,1),Q216,VLOOKUP(P216,Dropdowns!$N$2:$R$19,3,1),R216,VLOOKUP(P216,Dropdowns!$N$2:$R$19,4,1),S216,Dropdowns!AB213,Dropdowns!R213,T216,)))</f>
        <v xml:space="preserve"> </v>
      </c>
    </row>
    <row r="217" spans="16:21" x14ac:dyDescent="0.25">
      <c r="Q217" s="37"/>
      <c r="R217" s="37"/>
      <c r="U217" s="37" t="str">
        <f>IF(P217=""," ",(_xlfn.CONCAT(P217,VLOOKUP(P217,Dropdowns!$N$2:$R$19,2,1),Q217,VLOOKUP(P217,Dropdowns!$N$2:$R$19,3,1),R217,VLOOKUP(P217,Dropdowns!$N$2:$R$19,4,1),S217,Dropdowns!AB214,Dropdowns!R214,T217,)))</f>
        <v xml:space="preserve"> </v>
      </c>
    </row>
    <row r="218" spans="16:21" x14ac:dyDescent="0.25">
      <c r="Q218" s="37"/>
      <c r="R218" s="37"/>
      <c r="U218" s="37" t="str">
        <f>IF(P218=""," ",(_xlfn.CONCAT(P218,VLOOKUP(P218,Dropdowns!$N$2:$R$19,2,1),Q218,VLOOKUP(P218,Dropdowns!$N$2:$R$19,3,1),R218,VLOOKUP(P218,Dropdowns!$N$2:$R$19,4,1),S218,Dropdowns!AB215,Dropdowns!R215,T218,)))</f>
        <v xml:space="preserve"> </v>
      </c>
    </row>
    <row r="219" spans="16:21" x14ac:dyDescent="0.25">
      <c r="Q219" s="37"/>
      <c r="R219" s="37"/>
      <c r="U219" s="37" t="str">
        <f>IF(P219=""," ",(_xlfn.CONCAT(P219,VLOOKUP(P219,Dropdowns!$N$2:$R$19,2,1),Q219,VLOOKUP(P219,Dropdowns!$N$2:$R$19,3,1),R219,VLOOKUP(P219,Dropdowns!$N$2:$R$19,4,1),S219,Dropdowns!AB216,Dropdowns!R216,T219,)))</f>
        <v xml:space="preserve"> </v>
      </c>
    </row>
    <row r="220" spans="16:21" x14ac:dyDescent="0.25">
      <c r="Q220" s="37"/>
      <c r="R220" s="37"/>
      <c r="U220" s="37" t="str">
        <f>IF(P220=""," ",(_xlfn.CONCAT(P220,VLOOKUP(P220,Dropdowns!$N$2:$R$19,2,1),Q220,VLOOKUP(P220,Dropdowns!$N$2:$R$19,3,1),R220,VLOOKUP(P220,Dropdowns!$N$2:$R$19,4,1),S220,Dropdowns!AB217,Dropdowns!R217,T220,)))</f>
        <v xml:space="preserve"> </v>
      </c>
    </row>
    <row r="221" spans="16:21" x14ac:dyDescent="0.25">
      <c r="Q221" s="37"/>
      <c r="R221" s="37"/>
      <c r="U221" s="37" t="str">
        <f>IF(P221=""," ",(_xlfn.CONCAT(P221,VLOOKUP(P221,Dropdowns!$N$2:$R$19,2,1),Q221,VLOOKUP(P221,Dropdowns!$N$2:$R$19,3,1),R221,VLOOKUP(P221,Dropdowns!$N$2:$R$19,4,1),S221,Dropdowns!AB218,Dropdowns!R218,T221,)))</f>
        <v xml:space="preserve"> </v>
      </c>
    </row>
    <row r="222" spans="16:21" x14ac:dyDescent="0.25">
      <c r="Q222" s="37"/>
      <c r="R222" s="37"/>
      <c r="U222" s="37" t="str">
        <f>IF(P222=""," ",(_xlfn.CONCAT(P222,VLOOKUP(P222,Dropdowns!$N$2:$R$19,2,1),Q222,VLOOKUP(P222,Dropdowns!$N$2:$R$19,3,1),R222,VLOOKUP(P222,Dropdowns!$N$2:$R$19,4,1),S222,Dropdowns!AB219,Dropdowns!R219,T222,)))</f>
        <v xml:space="preserve"> </v>
      </c>
    </row>
    <row r="223" spans="16:21" x14ac:dyDescent="0.25">
      <c r="Q223" s="37"/>
      <c r="R223" s="37"/>
      <c r="U223" s="37" t="str">
        <f>IF(P223=""," ",(_xlfn.CONCAT(P223,VLOOKUP(P223,Dropdowns!$N$2:$R$19,2,1),Q223,VLOOKUP(P223,Dropdowns!$N$2:$R$19,3,1),R223,VLOOKUP(P223,Dropdowns!$N$2:$R$19,4,1),S223,Dropdowns!AB220,Dropdowns!R220,T223,)))</f>
        <v xml:space="preserve"> </v>
      </c>
    </row>
    <row r="224" spans="16:21" x14ac:dyDescent="0.25">
      <c r="Q224" s="37"/>
      <c r="R224" s="37"/>
      <c r="U224" s="37" t="str">
        <f>IF(P224=""," ",(_xlfn.CONCAT(P224,VLOOKUP(P224,Dropdowns!$N$2:$R$19,2,1),Q224,VLOOKUP(P224,Dropdowns!$N$2:$R$19,3,1),R224,VLOOKUP(P224,Dropdowns!$N$2:$R$19,4,1),S224,Dropdowns!AB221,Dropdowns!R221,T224,)))</f>
        <v xml:space="preserve"> </v>
      </c>
    </row>
    <row r="225" spans="17:21" x14ac:dyDescent="0.25">
      <c r="Q225" s="37"/>
      <c r="R225" s="37"/>
      <c r="U225" s="37" t="str">
        <f>IF(P225=""," ",(_xlfn.CONCAT(P225,VLOOKUP(P225,Dropdowns!$N$2:$R$19,2,1),Q225,VLOOKUP(P225,Dropdowns!$N$2:$R$19,3,1),R225,VLOOKUP(P225,Dropdowns!$N$2:$R$19,4,1),S225,Dropdowns!AB222,Dropdowns!R222,T225,)))</f>
        <v xml:space="preserve"> </v>
      </c>
    </row>
    <row r="226" spans="17:21" x14ac:dyDescent="0.25">
      <c r="Q226" s="37"/>
      <c r="R226" s="37"/>
      <c r="U226" s="37" t="str">
        <f>IF(P226=""," ",(_xlfn.CONCAT(P226,VLOOKUP(P226,Dropdowns!$N$2:$R$19,2,1),Q226,VLOOKUP(P226,Dropdowns!$N$2:$R$19,3,1),R226,VLOOKUP(P226,Dropdowns!$N$2:$R$19,4,1),S226,Dropdowns!AB223,Dropdowns!R223,T226,)))</f>
        <v xml:space="preserve"> </v>
      </c>
    </row>
    <row r="227" spans="17:21" x14ac:dyDescent="0.25">
      <c r="Q227" s="37"/>
      <c r="R227" s="37"/>
      <c r="U227" s="37" t="str">
        <f>IF(P227=""," ",(_xlfn.CONCAT(P227,VLOOKUP(P227,Dropdowns!$N$2:$R$19,2,1),Q227,VLOOKUP(P227,Dropdowns!$N$2:$R$19,3,1),R227,VLOOKUP(P227,Dropdowns!$N$2:$R$19,4,1),S227,Dropdowns!AB224,Dropdowns!R224,T227,)))</f>
        <v xml:space="preserve"> </v>
      </c>
    </row>
    <row r="228" spans="17:21" x14ac:dyDescent="0.25">
      <c r="Q228" s="37"/>
      <c r="R228" s="37"/>
      <c r="U228" s="37" t="str">
        <f>IF(P228=""," ",(_xlfn.CONCAT(P228,VLOOKUP(P228,Dropdowns!$N$2:$R$19,2,1),Q228,VLOOKUP(P228,Dropdowns!$N$2:$R$19,3,1),R228,VLOOKUP(P228,Dropdowns!$N$2:$R$19,4,1),S228,Dropdowns!AB225,Dropdowns!R225,T228,)))</f>
        <v xml:space="preserve"> </v>
      </c>
    </row>
    <row r="229" spans="17:21" x14ac:dyDescent="0.25">
      <c r="Q229" s="37"/>
      <c r="R229" s="37"/>
      <c r="U229" s="37" t="str">
        <f>IF(P229=""," ",(_xlfn.CONCAT(P229,VLOOKUP(P229,Dropdowns!$N$2:$R$19,2,1),Q229,VLOOKUP(P229,Dropdowns!$N$2:$R$19,3,1),R229,VLOOKUP(P229,Dropdowns!$N$2:$R$19,4,1),S229,Dropdowns!AB226,Dropdowns!R226,T229,)))</f>
        <v xml:space="preserve"> </v>
      </c>
    </row>
    <row r="230" spans="17:21" x14ac:dyDescent="0.25">
      <c r="Q230" s="37"/>
      <c r="R230" s="37"/>
      <c r="U230" s="37" t="str">
        <f>IF(P230=""," ",(_xlfn.CONCAT(P230,VLOOKUP(P230,Dropdowns!$N$2:$R$19,2,1),Q230,VLOOKUP(P230,Dropdowns!$N$2:$R$19,3,1),R230,VLOOKUP(P230,Dropdowns!$N$2:$R$19,4,1),S230,Dropdowns!AB227,Dropdowns!R227,T230,)))</f>
        <v xml:space="preserve"> </v>
      </c>
    </row>
    <row r="231" spans="17:21" x14ac:dyDescent="0.25">
      <c r="Q231" s="37"/>
      <c r="R231" s="37"/>
      <c r="U231" s="37" t="str">
        <f>IF(P231=""," ",(_xlfn.CONCAT(P231,VLOOKUP(P231,Dropdowns!$N$2:$R$19,2,1),Q231,VLOOKUP(P231,Dropdowns!$N$2:$R$19,3,1),R231,VLOOKUP(P231,Dropdowns!$N$2:$R$19,4,1),S231,Dropdowns!AB228,Dropdowns!R228,T231,)))</f>
        <v xml:space="preserve"> </v>
      </c>
    </row>
    <row r="232" spans="17:21" x14ac:dyDescent="0.25">
      <c r="Q232" s="37"/>
      <c r="R232" s="37"/>
      <c r="U232" s="37" t="str">
        <f>IF(P232=""," ",(_xlfn.CONCAT(P232,VLOOKUP(P232,Dropdowns!$N$2:$R$19,2,1),Q232,VLOOKUP(P232,Dropdowns!$N$2:$R$19,3,1),R232,VLOOKUP(P232,Dropdowns!$N$2:$R$19,4,1),S232,Dropdowns!AB229,Dropdowns!R229,T232,)))</f>
        <v xml:space="preserve"> </v>
      </c>
    </row>
    <row r="233" spans="17:21" x14ac:dyDescent="0.25">
      <c r="Q233" s="37"/>
      <c r="R233" s="37"/>
      <c r="U233" s="37" t="str">
        <f>IF(P233=""," ",(_xlfn.CONCAT(P233,VLOOKUP(P233,Dropdowns!$N$2:$R$19,2,1),Q233,VLOOKUP(P233,Dropdowns!$N$2:$R$19,3,1),R233,VLOOKUP(P233,Dropdowns!$N$2:$R$19,4,1),S233,Dropdowns!AB230,Dropdowns!R230,T233,)))</f>
        <v xml:space="preserve"> </v>
      </c>
    </row>
    <row r="234" spans="17:21" x14ac:dyDescent="0.25">
      <c r="Q234" s="37"/>
      <c r="R234" s="37"/>
      <c r="U234" s="37" t="str">
        <f>IF(P234=""," ",(_xlfn.CONCAT(P234,VLOOKUP(P234,Dropdowns!$N$2:$R$19,2,1),Q234,VLOOKUP(P234,Dropdowns!$N$2:$R$19,3,1),R234,VLOOKUP(P234,Dropdowns!$N$2:$R$19,4,1),S234,Dropdowns!AB231,Dropdowns!R231,T234,)))</f>
        <v xml:space="preserve"> </v>
      </c>
    </row>
    <row r="235" spans="17:21" x14ac:dyDescent="0.25">
      <c r="Q235" s="37"/>
      <c r="R235" s="37"/>
      <c r="U235" s="37" t="str">
        <f>IF(P235=""," ",(_xlfn.CONCAT(P235,VLOOKUP(P235,Dropdowns!$N$2:$R$19,2,1),Q235,VLOOKUP(P235,Dropdowns!$N$2:$R$19,3,1),R235,VLOOKUP(P235,Dropdowns!$N$2:$R$19,4,1),S235,Dropdowns!AB232,Dropdowns!R232,T235,)))</f>
        <v xml:space="preserve"> </v>
      </c>
    </row>
    <row r="236" spans="17:21" x14ac:dyDescent="0.25">
      <c r="Q236" s="37"/>
      <c r="R236" s="37"/>
      <c r="U236" s="37" t="str">
        <f>IF(P236=""," ",(_xlfn.CONCAT(P236,VLOOKUP(P236,Dropdowns!$N$2:$R$19,2,1),Q236,VLOOKUP(P236,Dropdowns!$N$2:$R$19,3,1),R236,VLOOKUP(P236,Dropdowns!$N$2:$R$19,4,1),S236,Dropdowns!AB233,Dropdowns!R233,T236,)))</f>
        <v xml:space="preserve"> </v>
      </c>
    </row>
    <row r="237" spans="17:21" x14ac:dyDescent="0.25">
      <c r="Q237" s="37"/>
      <c r="R237" s="37"/>
      <c r="U237" s="37" t="str">
        <f>IF(P237=""," ",(_xlfn.CONCAT(P237,VLOOKUP(P237,Dropdowns!$N$2:$R$19,2,1),Q237,VLOOKUP(P237,Dropdowns!$N$2:$R$19,3,1),R237,VLOOKUP(P237,Dropdowns!$N$2:$R$19,4,1),S237,Dropdowns!AB234,Dropdowns!R234,T237,)))</f>
        <v xml:space="preserve"> </v>
      </c>
    </row>
    <row r="238" spans="17:21" x14ac:dyDescent="0.25">
      <c r="Q238" s="37"/>
      <c r="R238" s="37"/>
      <c r="U238" s="37" t="str">
        <f>IF(P238=""," ",(_xlfn.CONCAT(P238,VLOOKUP(P238,Dropdowns!$N$2:$R$19,2,1),Q238,VLOOKUP(P238,Dropdowns!$N$2:$R$19,3,1),R238,VLOOKUP(P238,Dropdowns!$N$2:$R$19,4,1),S238,Dropdowns!AB235,Dropdowns!R235,T238,)))</f>
        <v xml:space="preserve"> </v>
      </c>
    </row>
    <row r="239" spans="17:21" x14ac:dyDescent="0.25">
      <c r="Q239" s="37"/>
      <c r="R239" s="37"/>
      <c r="U239" s="37" t="str">
        <f>IF(P239=""," ",(_xlfn.CONCAT(P239,VLOOKUP(P239,Dropdowns!$N$2:$R$19,2,1),Q239,VLOOKUP(P239,Dropdowns!$N$2:$R$19,3,1),R239,VLOOKUP(P239,Dropdowns!$N$2:$R$19,4,1),S239,Dropdowns!AB236,Dropdowns!R236,T239,)))</f>
        <v xml:space="preserve"> </v>
      </c>
    </row>
    <row r="240" spans="17:21" x14ac:dyDescent="0.25">
      <c r="Q240" s="37"/>
      <c r="R240" s="37"/>
      <c r="U240" s="37" t="str">
        <f>IF(P240=""," ",(_xlfn.CONCAT(P240,VLOOKUP(P240,Dropdowns!$N$2:$R$19,2,1),Q240,VLOOKUP(P240,Dropdowns!$N$2:$R$19,3,1),R240,VLOOKUP(P240,Dropdowns!$N$2:$R$19,4,1),S240,Dropdowns!AB237,Dropdowns!R237,T240,)))</f>
        <v xml:space="preserve"> </v>
      </c>
    </row>
    <row r="241" spans="17:21" x14ac:dyDescent="0.25">
      <c r="Q241" s="37"/>
      <c r="R241" s="37"/>
      <c r="U241" s="37" t="str">
        <f>IF(P241=""," ",(_xlfn.CONCAT(P241,VLOOKUP(P241,Dropdowns!$N$2:$R$19,2,1),Q241,VLOOKUP(P241,Dropdowns!$N$2:$R$19,3,1),R241,VLOOKUP(P241,Dropdowns!$N$2:$R$19,4,1),S241,Dropdowns!AB238,Dropdowns!R238,T241,)))</f>
        <v xml:space="preserve"> </v>
      </c>
    </row>
    <row r="242" spans="17:21" x14ac:dyDescent="0.25">
      <c r="Q242" s="37"/>
      <c r="R242" s="37"/>
      <c r="U242" s="37" t="str">
        <f>IF(P242=""," ",(_xlfn.CONCAT(P242,VLOOKUP(P242,Dropdowns!$N$2:$R$19,2,1),Q242,VLOOKUP(P242,Dropdowns!$N$2:$R$19,3,1),R242,VLOOKUP(P242,Dropdowns!$N$2:$R$19,4,1),S242,Dropdowns!AB239,Dropdowns!R239,T242,)))</f>
        <v xml:space="preserve"> </v>
      </c>
    </row>
    <row r="243" spans="17:21" x14ac:dyDescent="0.25">
      <c r="Q243" s="37"/>
      <c r="R243" s="37"/>
      <c r="U243" s="37" t="str">
        <f>IF(P243=""," ",(_xlfn.CONCAT(P243,VLOOKUP(P243,Dropdowns!$N$2:$R$19,2,1),Q243,VLOOKUP(P243,Dropdowns!$N$2:$R$19,3,1),R243,VLOOKUP(P243,Dropdowns!$N$2:$R$19,4,1),S243,Dropdowns!AB240,Dropdowns!R240,T243,)))</f>
        <v xml:space="preserve"> </v>
      </c>
    </row>
    <row r="244" spans="17:21" x14ac:dyDescent="0.25">
      <c r="Q244" s="37"/>
      <c r="R244" s="37"/>
      <c r="U244" s="37" t="str">
        <f>IF(P244=""," ",(_xlfn.CONCAT(P244,VLOOKUP(P244,Dropdowns!$N$2:$R$19,2,1),Q244,VLOOKUP(P244,Dropdowns!$N$2:$R$19,3,1),R244,VLOOKUP(P244,Dropdowns!$N$2:$R$19,4,1),S244,Dropdowns!AB241,Dropdowns!R241,T244,)))</f>
        <v xml:space="preserve"> </v>
      </c>
    </row>
    <row r="245" spans="17:21" x14ac:dyDescent="0.25">
      <c r="Q245" s="37"/>
      <c r="R245" s="37"/>
      <c r="U245" s="37" t="str">
        <f>IF(P245=""," ",(_xlfn.CONCAT(P245,VLOOKUP(P245,Dropdowns!$N$2:$R$19,2,1),Q245,VLOOKUP(P245,Dropdowns!$N$2:$R$19,3,1),R245,VLOOKUP(P245,Dropdowns!$N$2:$R$19,4,1),S245,Dropdowns!AB242,Dropdowns!R242,T245,)))</f>
        <v xml:space="preserve"> </v>
      </c>
    </row>
    <row r="246" spans="17:21" x14ac:dyDescent="0.25">
      <c r="Q246" s="37"/>
      <c r="R246" s="37"/>
      <c r="U246" s="37" t="str">
        <f>IF(P246=""," ",(_xlfn.CONCAT(P246,VLOOKUP(P246,Dropdowns!$N$2:$R$19,2,1),Q246,VLOOKUP(P246,Dropdowns!$N$2:$R$19,3,1),R246,VLOOKUP(P246,Dropdowns!$N$2:$R$19,4,1),S246,Dropdowns!AB243,Dropdowns!R243,T246,)))</f>
        <v xml:space="preserve"> </v>
      </c>
    </row>
    <row r="247" spans="17:21" x14ac:dyDescent="0.25">
      <c r="Q247" s="37"/>
      <c r="R247" s="37"/>
      <c r="U247" s="37" t="str">
        <f>IF(P247=""," ",(_xlfn.CONCAT(P247,VLOOKUP(P247,Dropdowns!$N$2:$R$19,2,1),Q247,VLOOKUP(P247,Dropdowns!$N$2:$R$19,3,1),R247,VLOOKUP(P247,Dropdowns!$N$2:$R$19,4,1),S247,Dropdowns!AB244,Dropdowns!R244,T247,)))</f>
        <v xml:space="preserve"> </v>
      </c>
    </row>
    <row r="248" spans="17:21" x14ac:dyDescent="0.25">
      <c r="Q248" s="37"/>
      <c r="R248" s="37"/>
      <c r="U248" s="37" t="str">
        <f>IF(P248=""," ",(_xlfn.CONCAT(P248,VLOOKUP(P248,Dropdowns!$N$2:$R$19,2,1),Q248,VLOOKUP(P248,Dropdowns!$N$2:$R$19,3,1),R248,VLOOKUP(P248,Dropdowns!$N$2:$R$19,4,1),S248,Dropdowns!AB245,Dropdowns!R245,T248,)))</f>
        <v xml:space="preserve"> </v>
      </c>
    </row>
    <row r="249" spans="17:21" x14ac:dyDescent="0.25">
      <c r="Q249" s="37"/>
      <c r="R249" s="37"/>
      <c r="U249" s="37" t="str">
        <f>IF(P249=""," ",(_xlfn.CONCAT(P249,VLOOKUP(P249,Dropdowns!$N$2:$R$19,2,1),Q249,VLOOKUP(P249,Dropdowns!$N$2:$R$19,3,1),R249,VLOOKUP(P249,Dropdowns!$N$2:$R$19,4,1),S249,Dropdowns!AB246,Dropdowns!R246,T249,)))</f>
        <v xml:space="preserve"> </v>
      </c>
    </row>
    <row r="250" spans="17:21" x14ac:dyDescent="0.25">
      <c r="Q250" s="37"/>
      <c r="R250" s="37"/>
      <c r="U250" s="37" t="str">
        <f>IF(P250=""," ",(_xlfn.CONCAT(P250,VLOOKUP(P250,Dropdowns!$N$2:$R$19,2,1),Q250,VLOOKUP(P250,Dropdowns!$N$2:$R$19,3,1),R250,VLOOKUP(P250,Dropdowns!$N$2:$R$19,4,1),S250,Dropdowns!AB247,Dropdowns!R247,T250,)))</f>
        <v xml:space="preserve"> </v>
      </c>
    </row>
    <row r="251" spans="17:21" x14ac:dyDescent="0.25">
      <c r="Q251" s="37"/>
      <c r="R251" s="37"/>
      <c r="U251" s="37" t="str">
        <f>IF(P251=""," ",(_xlfn.CONCAT(P251,VLOOKUP(P251,Dropdowns!$N$2:$R$19,2,1),Q251,VLOOKUP(P251,Dropdowns!$N$2:$R$19,3,1),R251,VLOOKUP(P251,Dropdowns!$N$2:$R$19,4,1),S251,Dropdowns!AB248,Dropdowns!R248,T251,)))</f>
        <v xml:space="preserve"> </v>
      </c>
    </row>
    <row r="252" spans="17:21" x14ac:dyDescent="0.25">
      <c r="Q252" s="37"/>
      <c r="R252" s="37"/>
      <c r="U252" s="37" t="str">
        <f>IF(P252=""," ",(_xlfn.CONCAT(P252,VLOOKUP(P252,Dropdowns!$N$2:$R$19,2,1),Q252,VLOOKUP(P252,Dropdowns!$N$2:$R$19,3,1),R252,VLOOKUP(P252,Dropdowns!$N$2:$R$19,4,1),S252,Dropdowns!AB249,Dropdowns!R249,T252,)))</f>
        <v xml:space="preserve"> </v>
      </c>
    </row>
    <row r="253" spans="17:21" x14ac:dyDescent="0.25">
      <c r="Q253" s="37"/>
      <c r="R253" s="37"/>
      <c r="U253" s="37" t="str">
        <f>IF(P253=""," ",(_xlfn.CONCAT(P253,VLOOKUP(P253,Dropdowns!$N$2:$R$19,2,1),Q253,VLOOKUP(P253,Dropdowns!$N$2:$R$19,3,1),R253,VLOOKUP(P253,Dropdowns!$N$2:$R$19,4,1),S253,Dropdowns!AB250,Dropdowns!R250,T253,)))</f>
        <v xml:space="preserve"> </v>
      </c>
    </row>
    <row r="254" spans="17:21" x14ac:dyDescent="0.25">
      <c r="Q254" s="37"/>
      <c r="R254" s="37"/>
      <c r="U254" s="37" t="str">
        <f>IF(P254=""," ",(_xlfn.CONCAT(P254,VLOOKUP(P254,Dropdowns!$N$2:$R$19,2,1),Q254,VLOOKUP(P254,Dropdowns!$N$2:$R$19,3,1),R254,VLOOKUP(P254,Dropdowns!$N$2:$R$19,4,1),S254,Dropdowns!AB251,Dropdowns!R251,T254,)))</f>
        <v xml:space="preserve"> </v>
      </c>
    </row>
    <row r="255" spans="17:21" x14ac:dyDescent="0.25">
      <c r="Q255" s="37"/>
      <c r="R255" s="37"/>
      <c r="U255" s="37" t="str">
        <f>IF(P255=""," ",(_xlfn.CONCAT(P255,VLOOKUP(P255,Dropdowns!$N$2:$R$19,2,1),Q255,VLOOKUP(P255,Dropdowns!$N$2:$R$19,3,1),R255,VLOOKUP(P255,Dropdowns!$N$2:$R$19,4,1),S255,Dropdowns!AB252,Dropdowns!R252,T255,)))</f>
        <v xml:space="preserve"> </v>
      </c>
    </row>
    <row r="256" spans="17:21" x14ac:dyDescent="0.25">
      <c r="Q256" s="37"/>
      <c r="R256" s="37"/>
      <c r="U256" s="37" t="str">
        <f>IF(P256=""," ",(_xlfn.CONCAT(P256,VLOOKUP(P256,Dropdowns!$N$2:$R$19,2,1),Q256,VLOOKUP(P256,Dropdowns!$N$2:$R$19,3,1),R256,VLOOKUP(P256,Dropdowns!$N$2:$R$19,4,1),S256,Dropdowns!AB253,Dropdowns!R253,T256,)))</f>
        <v xml:space="preserve"> </v>
      </c>
    </row>
    <row r="257" spans="17:21" x14ac:dyDescent="0.25">
      <c r="Q257" s="37"/>
      <c r="R257" s="37"/>
      <c r="U257" s="37" t="str">
        <f>IF(P257=""," ",(_xlfn.CONCAT(P257,VLOOKUP(P257,Dropdowns!$N$2:$R$19,2,1),Q257,VLOOKUP(P257,Dropdowns!$N$2:$R$19,3,1),R257,VLOOKUP(P257,Dropdowns!$N$2:$R$19,4,1),S257,Dropdowns!AB254,Dropdowns!R254,T257,)))</f>
        <v xml:space="preserve"> </v>
      </c>
    </row>
    <row r="258" spans="17:21" x14ac:dyDescent="0.25">
      <c r="Q258" s="37"/>
      <c r="R258" s="37"/>
      <c r="U258" s="37" t="str">
        <f>IF(P258=""," ",(_xlfn.CONCAT(P258,VLOOKUP(P258,Dropdowns!$N$2:$R$19,2,1),Q258,VLOOKUP(P258,Dropdowns!$N$2:$R$19,3,1),R258,VLOOKUP(P258,Dropdowns!$N$2:$R$19,4,1),S258,Dropdowns!AB255,Dropdowns!R255,T258,)))</f>
        <v xml:space="preserve"> </v>
      </c>
    </row>
    <row r="259" spans="17:21" x14ac:dyDescent="0.25">
      <c r="Q259" s="37"/>
      <c r="R259" s="37"/>
      <c r="U259" s="37" t="str">
        <f>IF(P259=""," ",(_xlfn.CONCAT(P259,VLOOKUP(P259,Dropdowns!$N$2:$R$19,2,1),Q259,VLOOKUP(P259,Dropdowns!$N$2:$R$19,3,1),R259,VLOOKUP(P259,Dropdowns!$N$2:$R$19,4,1),S259,Dropdowns!AB256,Dropdowns!R256,T259,)))</f>
        <v xml:space="preserve"> </v>
      </c>
    </row>
    <row r="260" spans="17:21" x14ac:dyDescent="0.25">
      <c r="Q260" s="37"/>
      <c r="R260" s="37"/>
      <c r="U260" s="37" t="str">
        <f>IF(P260=""," ",(_xlfn.CONCAT(P260,VLOOKUP(P260,Dropdowns!$N$2:$R$19,2,1),Q260,VLOOKUP(P260,Dropdowns!$N$2:$R$19,3,1),R260,VLOOKUP(P260,Dropdowns!$N$2:$R$19,4,1),S260,Dropdowns!AB257,Dropdowns!R257,T260,)))</f>
        <v xml:space="preserve"> </v>
      </c>
    </row>
    <row r="261" spans="17:21" x14ac:dyDescent="0.25">
      <c r="Q261" s="37"/>
      <c r="R261" s="37"/>
      <c r="U261" s="37" t="str">
        <f>IF(P261=""," ",(_xlfn.CONCAT(P261,VLOOKUP(P261,Dropdowns!$N$2:$R$19,2,1),Q261,VLOOKUP(P261,Dropdowns!$N$2:$R$19,3,1),R261,VLOOKUP(P261,Dropdowns!$N$2:$R$19,4,1),S261,Dropdowns!AB258,Dropdowns!R258,T261,)))</f>
        <v xml:space="preserve"> </v>
      </c>
    </row>
    <row r="262" spans="17:21" x14ac:dyDescent="0.25">
      <c r="Q262" s="37"/>
      <c r="R262" s="37"/>
      <c r="U262" s="37" t="str">
        <f>IF(P262=""," ",(_xlfn.CONCAT(P262,VLOOKUP(P262,Dropdowns!$N$2:$R$19,2,1),Q262,VLOOKUP(P262,Dropdowns!$N$2:$R$19,3,1),R262,VLOOKUP(P262,Dropdowns!$N$2:$R$19,4,1),S262,Dropdowns!AB259,Dropdowns!R259,T262,)))</f>
        <v xml:space="preserve"> </v>
      </c>
    </row>
    <row r="263" spans="17:21" x14ac:dyDescent="0.25">
      <c r="Q263" s="37"/>
      <c r="R263" s="37"/>
      <c r="U263" s="37" t="str">
        <f>IF(P263=""," ",(_xlfn.CONCAT(P263,VLOOKUP(P263,Dropdowns!$N$2:$R$19,2,1),Q263,VLOOKUP(P263,Dropdowns!$N$2:$R$19,3,1),R263,VLOOKUP(P263,Dropdowns!$N$2:$R$19,4,1),S263,Dropdowns!AB260,Dropdowns!R260,T263,)))</f>
        <v xml:space="preserve"> </v>
      </c>
    </row>
    <row r="264" spans="17:21" x14ac:dyDescent="0.25">
      <c r="Q264" s="37"/>
      <c r="R264" s="37"/>
      <c r="U264" s="37" t="str">
        <f>IF(P264=""," ",(_xlfn.CONCAT(P264,VLOOKUP(P264,Dropdowns!$N$2:$R$19,2,1),Q264,VLOOKUP(P264,Dropdowns!$N$2:$R$19,3,1),R264,VLOOKUP(P264,Dropdowns!$N$2:$R$19,4,1),S264,Dropdowns!AB261,Dropdowns!R261,T264,)))</f>
        <v xml:space="preserve"> </v>
      </c>
    </row>
    <row r="265" spans="17:21" x14ac:dyDescent="0.25">
      <c r="Q265" s="37"/>
      <c r="R265" s="37"/>
      <c r="U265" s="37" t="str">
        <f>IF(P265=""," ",(_xlfn.CONCAT(P265,VLOOKUP(P265,Dropdowns!$N$2:$R$19,2,1),Q265,VLOOKUP(P265,Dropdowns!$N$2:$R$19,3,1),R265,VLOOKUP(P265,Dropdowns!$N$2:$R$19,4,1),S265,Dropdowns!AB262,Dropdowns!R262,T265,)))</f>
        <v xml:space="preserve"> </v>
      </c>
    </row>
    <row r="266" spans="17:21" x14ac:dyDescent="0.25">
      <c r="Q266" s="37"/>
      <c r="R266" s="37"/>
      <c r="U266" s="37" t="str">
        <f>IF(P266=""," ",(_xlfn.CONCAT(P266,VLOOKUP(P266,Dropdowns!$N$2:$R$19,2,1),Q266,VLOOKUP(P266,Dropdowns!$N$2:$R$19,3,1),R266,VLOOKUP(P266,Dropdowns!$N$2:$R$19,4,1),S266,Dropdowns!AB263,Dropdowns!R263,T266,)))</f>
        <v xml:space="preserve"> </v>
      </c>
    </row>
    <row r="267" spans="17:21" x14ac:dyDescent="0.25">
      <c r="Q267" s="37"/>
      <c r="R267" s="37"/>
      <c r="U267" s="37" t="str">
        <f>IF(P267=""," ",(_xlfn.CONCAT(P267,VLOOKUP(P267,Dropdowns!$N$2:$R$19,2,1),Q267,VLOOKUP(P267,Dropdowns!$N$2:$R$19,3,1),R267,VLOOKUP(P267,Dropdowns!$N$2:$R$19,4,1),S267,Dropdowns!AB264,Dropdowns!R264,T267,)))</f>
        <v xml:space="preserve"> </v>
      </c>
    </row>
    <row r="268" spans="17:21" x14ac:dyDescent="0.25">
      <c r="Q268" s="37"/>
      <c r="R268" s="37"/>
      <c r="U268" s="37" t="str">
        <f>IF(P268=""," ",(_xlfn.CONCAT(P268,VLOOKUP(P268,Dropdowns!$N$2:$R$19,2,1),Q268,VLOOKUP(P268,Dropdowns!$N$2:$R$19,3,1),R268,VLOOKUP(P268,Dropdowns!$N$2:$R$19,4,1),S268,Dropdowns!AB265,Dropdowns!R265,T268,)))</f>
        <v xml:space="preserve"> </v>
      </c>
    </row>
    <row r="269" spans="17:21" x14ac:dyDescent="0.25">
      <c r="Q269" s="37"/>
      <c r="R269" s="37"/>
      <c r="U269" s="37" t="str">
        <f>IF(P269=""," ",(_xlfn.CONCAT(P269,VLOOKUP(P269,Dropdowns!$N$2:$R$19,2,1),Q269,VLOOKUP(P269,Dropdowns!$N$2:$R$19,3,1),R269,VLOOKUP(P269,Dropdowns!$N$2:$R$19,4,1),S269,Dropdowns!AB266,Dropdowns!R266,T269,)))</f>
        <v xml:space="preserve"> </v>
      </c>
    </row>
    <row r="270" spans="17:21" x14ac:dyDescent="0.25">
      <c r="Q270" s="37"/>
      <c r="R270" s="37"/>
      <c r="U270" s="37" t="str">
        <f>IF(P270=""," ",(_xlfn.CONCAT(P270,VLOOKUP(P270,Dropdowns!$N$2:$R$19,2,1),Q270,VLOOKUP(P270,Dropdowns!$N$2:$R$19,3,1),R270,VLOOKUP(P270,Dropdowns!$N$2:$R$19,4,1),S270,Dropdowns!AB267,Dropdowns!R267,T270,)))</f>
        <v xml:space="preserve"> </v>
      </c>
    </row>
    <row r="271" spans="17:21" x14ac:dyDescent="0.25">
      <c r="Q271" s="37"/>
      <c r="R271" s="37"/>
      <c r="U271" s="37" t="str">
        <f>IF(P271=""," ",(_xlfn.CONCAT(P271,VLOOKUP(P271,Dropdowns!$N$2:$R$19,2,1),Q271,VLOOKUP(P271,Dropdowns!$N$2:$R$19,3,1),R271,VLOOKUP(P271,Dropdowns!$N$2:$R$19,4,1),S271,Dropdowns!AB268,Dropdowns!R268,T271,)))</f>
        <v xml:space="preserve"> </v>
      </c>
    </row>
    <row r="272" spans="17:21" x14ac:dyDescent="0.25">
      <c r="Q272" s="37"/>
      <c r="R272" s="37"/>
      <c r="U272" s="37" t="str">
        <f>IF(P272=""," ",(_xlfn.CONCAT(P272,VLOOKUP(P272,Dropdowns!$N$2:$R$19,2,1),Q272,VLOOKUP(P272,Dropdowns!$N$2:$R$19,3,1),R272,VLOOKUP(P272,Dropdowns!$N$2:$R$19,4,1),S272,Dropdowns!AB269,Dropdowns!R269,T272,)))</f>
        <v xml:space="preserve"> </v>
      </c>
    </row>
    <row r="273" spans="17:21" x14ac:dyDescent="0.25">
      <c r="Q273" s="37"/>
      <c r="R273" s="37"/>
      <c r="U273" s="37" t="str">
        <f>IF(P273=""," ",(_xlfn.CONCAT(P273,VLOOKUP(P273,Dropdowns!$N$2:$R$19,2,1),Q273,VLOOKUP(P273,Dropdowns!$N$2:$R$19,3,1),R273,VLOOKUP(P273,Dropdowns!$N$2:$R$19,4,1),S273,Dropdowns!AB270,Dropdowns!R270,T273,)))</f>
        <v xml:space="preserve"> </v>
      </c>
    </row>
    <row r="274" spans="17:21" x14ac:dyDescent="0.25">
      <c r="Q274" s="37"/>
      <c r="R274" s="37"/>
      <c r="U274" s="37" t="str">
        <f>IF(P274=""," ",(_xlfn.CONCAT(P274,VLOOKUP(P274,Dropdowns!$N$2:$R$19,2,1),Q274,VLOOKUP(P274,Dropdowns!$N$2:$R$19,3,1),R274,VLOOKUP(P274,Dropdowns!$N$2:$R$19,4,1),S274,Dropdowns!AB271,Dropdowns!R271,T274,)))</f>
        <v xml:space="preserve"> </v>
      </c>
    </row>
    <row r="275" spans="17:21" x14ac:dyDescent="0.25">
      <c r="Q275" s="37"/>
      <c r="R275" s="37"/>
      <c r="U275" s="37" t="str">
        <f>IF(P275=""," ",(_xlfn.CONCAT(P275,VLOOKUP(P275,Dropdowns!$N$2:$R$19,2,1),Q275,VLOOKUP(P275,Dropdowns!$N$2:$R$19,3,1),R275,VLOOKUP(P275,Dropdowns!$N$2:$R$19,4,1),S275,Dropdowns!AB272,Dropdowns!R272,T275,)))</f>
        <v xml:space="preserve"> </v>
      </c>
    </row>
    <row r="276" spans="17:21" x14ac:dyDescent="0.25">
      <c r="Q276" s="37"/>
      <c r="R276" s="37"/>
      <c r="U276" s="37" t="str">
        <f>IF(P276=""," ",(_xlfn.CONCAT(P276,VLOOKUP(P276,Dropdowns!$N$2:$R$19,2,1),Q276,VLOOKUP(P276,Dropdowns!$N$2:$R$19,3,1),R276,VLOOKUP(P276,Dropdowns!$N$2:$R$19,4,1),S276,Dropdowns!AB273,Dropdowns!R273,T276,)))</f>
        <v xml:space="preserve"> </v>
      </c>
    </row>
    <row r="277" spans="17:21" x14ac:dyDescent="0.25">
      <c r="Q277" s="37"/>
      <c r="R277" s="37"/>
      <c r="U277" s="37" t="str">
        <f>IF(P277=""," ",(_xlfn.CONCAT(P277,VLOOKUP(P277,Dropdowns!$N$2:$R$19,2,1),Q277,VLOOKUP(P277,Dropdowns!$N$2:$R$19,3,1),R277,VLOOKUP(P277,Dropdowns!$N$2:$R$19,4,1),S277,Dropdowns!AB274,Dropdowns!R274,T277,)))</f>
        <v xml:space="preserve"> </v>
      </c>
    </row>
    <row r="278" spans="17:21" x14ac:dyDescent="0.25">
      <c r="Q278" s="37"/>
      <c r="R278" s="37"/>
      <c r="U278" s="37" t="str">
        <f>IF(P278=""," ",(_xlfn.CONCAT(P278,VLOOKUP(P278,Dropdowns!$N$2:$R$19,2,1),Q278,VLOOKUP(P278,Dropdowns!$N$2:$R$19,3,1),R278,VLOOKUP(P278,Dropdowns!$N$2:$R$19,4,1),S278,Dropdowns!AB275,Dropdowns!R275,T278,)))</f>
        <v xml:space="preserve"> </v>
      </c>
    </row>
    <row r="279" spans="17:21" x14ac:dyDescent="0.25">
      <c r="Q279" s="37"/>
      <c r="R279" s="37"/>
      <c r="U279" s="37" t="str">
        <f>IF(P279=""," ",(_xlfn.CONCAT(P279,VLOOKUP(P279,Dropdowns!$N$2:$R$19,2,1),Q279,VLOOKUP(P279,Dropdowns!$N$2:$R$19,3,1),R279,VLOOKUP(P279,Dropdowns!$N$2:$R$19,4,1),S279,Dropdowns!AB276,Dropdowns!R276,T279,)))</f>
        <v xml:space="preserve"> </v>
      </c>
    </row>
    <row r="280" spans="17:21" x14ac:dyDescent="0.25">
      <c r="Q280" s="37"/>
      <c r="R280" s="37"/>
      <c r="U280" s="37" t="str">
        <f>IF(P280=""," ",(_xlfn.CONCAT(P280,VLOOKUP(P280,Dropdowns!$N$2:$R$19,2,1),Q280,VLOOKUP(P280,Dropdowns!$N$2:$R$19,3,1),R280,VLOOKUP(P280,Dropdowns!$N$2:$R$19,4,1),S280,Dropdowns!AB277,Dropdowns!R277,T280,)))</f>
        <v xml:space="preserve"> </v>
      </c>
    </row>
    <row r="281" spans="17:21" x14ac:dyDescent="0.25">
      <c r="Q281" s="37"/>
      <c r="R281" s="37"/>
      <c r="U281" s="37" t="str">
        <f>IF(P281=""," ",(_xlfn.CONCAT(P281,VLOOKUP(P281,Dropdowns!$N$2:$R$19,2,1),Q281,VLOOKUP(P281,Dropdowns!$N$2:$R$19,3,1),R281,VLOOKUP(P281,Dropdowns!$N$2:$R$19,4,1),S281,Dropdowns!AB278,Dropdowns!R278,T281,)))</f>
        <v xml:space="preserve"> </v>
      </c>
    </row>
    <row r="282" spans="17:21" x14ac:dyDescent="0.25">
      <c r="Q282" s="37"/>
      <c r="R282" s="37"/>
      <c r="U282" s="37" t="str">
        <f>IF(P282=""," ",(_xlfn.CONCAT(P282,VLOOKUP(P282,Dropdowns!$N$2:$R$19,2,1),Q282,VLOOKUP(P282,Dropdowns!$N$2:$R$19,3,1),R282,VLOOKUP(P282,Dropdowns!$N$2:$R$19,4,1),S282,Dropdowns!AB279,Dropdowns!R279,T282,)))</f>
        <v xml:space="preserve"> </v>
      </c>
    </row>
    <row r="283" spans="17:21" x14ac:dyDescent="0.25">
      <c r="Q283" s="37"/>
      <c r="R283" s="37"/>
      <c r="U283" s="37" t="str">
        <f>IF(P283=""," ",(_xlfn.CONCAT(P283,VLOOKUP(P283,Dropdowns!$N$2:$R$19,2,1),Q283,VLOOKUP(P283,Dropdowns!$N$2:$R$19,3,1),R283,VLOOKUP(P283,Dropdowns!$N$2:$R$19,4,1),S283,Dropdowns!AB280,Dropdowns!R280,T283,)))</f>
        <v xml:space="preserve"> </v>
      </c>
    </row>
    <row r="284" spans="17:21" x14ac:dyDescent="0.25">
      <c r="Q284" s="37"/>
      <c r="R284" s="37"/>
      <c r="U284" s="37" t="str">
        <f>IF(P284=""," ",(_xlfn.CONCAT(P284,VLOOKUP(P284,Dropdowns!$N$2:$R$19,2,1),Q284,VLOOKUP(P284,Dropdowns!$N$2:$R$19,3,1),R284,VLOOKUP(P284,Dropdowns!$N$2:$R$19,4,1),S284,Dropdowns!AB281,Dropdowns!R281,T284,)))</f>
        <v xml:space="preserve"> </v>
      </c>
    </row>
    <row r="285" spans="17:21" x14ac:dyDescent="0.25">
      <c r="Q285" s="37"/>
      <c r="R285" s="37"/>
      <c r="U285" s="37" t="str">
        <f>IF(P285=""," ",(_xlfn.CONCAT(P285,VLOOKUP(P285,Dropdowns!$N$2:$R$19,2,1),Q285,VLOOKUP(P285,Dropdowns!$N$2:$R$19,3,1),R285,VLOOKUP(P285,Dropdowns!$N$2:$R$19,4,1),S285,Dropdowns!AB282,Dropdowns!R282,T285,)))</f>
        <v xml:space="preserve"> </v>
      </c>
    </row>
    <row r="286" spans="17:21" x14ac:dyDescent="0.25">
      <c r="Q286" s="37"/>
      <c r="R286" s="37"/>
      <c r="U286" s="37" t="str">
        <f>IF(P286=""," ",(_xlfn.CONCAT(P286,VLOOKUP(P286,Dropdowns!$N$2:$R$19,2,1),Q286,VLOOKUP(P286,Dropdowns!$N$2:$R$19,3,1),R286,VLOOKUP(P286,Dropdowns!$N$2:$R$19,4,1),S286,Dropdowns!AB283,Dropdowns!R283,T286,)))</f>
        <v xml:space="preserve"> </v>
      </c>
    </row>
    <row r="287" spans="17:21" x14ac:dyDescent="0.25">
      <c r="Q287" s="37"/>
      <c r="R287" s="37"/>
      <c r="U287" s="37" t="str">
        <f>IF(P287=""," ",(_xlfn.CONCAT(P287,VLOOKUP(P287,Dropdowns!$N$2:$R$19,2,1),Q287,VLOOKUP(P287,Dropdowns!$N$2:$R$19,3,1),R287,VLOOKUP(P287,Dropdowns!$N$2:$R$19,4,1),S287,Dropdowns!AB284,Dropdowns!R284,T287,)))</f>
        <v xml:space="preserve"> </v>
      </c>
    </row>
    <row r="288" spans="17:21" x14ac:dyDescent="0.25">
      <c r="Q288" s="37"/>
      <c r="R288" s="37"/>
      <c r="U288" s="37" t="str">
        <f>IF(P288=""," ",(_xlfn.CONCAT(P288,VLOOKUP(P288,Dropdowns!$N$2:$R$19,2,1),Q288,VLOOKUP(P288,Dropdowns!$N$2:$R$19,3,1),R288,VLOOKUP(P288,Dropdowns!$N$2:$R$19,4,1),S288,Dropdowns!AB285,Dropdowns!R285,T288,)))</f>
        <v xml:space="preserve"> </v>
      </c>
    </row>
    <row r="289" spans="17:21" x14ac:dyDescent="0.25">
      <c r="Q289" s="37"/>
      <c r="R289" s="37"/>
      <c r="U289" s="37" t="str">
        <f>IF(P289=""," ",(_xlfn.CONCAT(P289,VLOOKUP(P289,Dropdowns!$N$2:$R$19,2,1),Q289,VLOOKUP(P289,Dropdowns!$N$2:$R$19,3,1),R289,VLOOKUP(P289,Dropdowns!$N$2:$R$19,4,1),S289,Dropdowns!AB286,Dropdowns!R286,T289,)))</f>
        <v xml:space="preserve"> </v>
      </c>
    </row>
    <row r="290" spans="17:21" x14ac:dyDescent="0.25">
      <c r="Q290" s="37"/>
      <c r="R290" s="37"/>
      <c r="U290" s="37" t="str">
        <f>IF(P290=""," ",(_xlfn.CONCAT(P290,VLOOKUP(P290,Dropdowns!$N$2:$R$19,2,1),Q290,VLOOKUP(P290,Dropdowns!$N$2:$R$19,3,1),R290,VLOOKUP(P290,Dropdowns!$N$2:$R$19,4,1),S290,Dropdowns!AB287,Dropdowns!R287,T290,)))</f>
        <v xml:space="preserve"> </v>
      </c>
    </row>
    <row r="291" spans="17:21" x14ac:dyDescent="0.25">
      <c r="Q291" s="37"/>
      <c r="R291" s="37"/>
      <c r="U291" s="37" t="str">
        <f>IF(P291=""," ",(_xlfn.CONCAT(P291,VLOOKUP(P291,Dropdowns!$N$2:$R$19,2,1),Q291,VLOOKUP(P291,Dropdowns!$N$2:$R$19,3,1),R291,VLOOKUP(P291,Dropdowns!$N$2:$R$19,4,1),S291,Dropdowns!AB288,Dropdowns!R288,T291,)))</f>
        <v xml:space="preserve"> </v>
      </c>
    </row>
    <row r="292" spans="17:21" x14ac:dyDescent="0.25">
      <c r="Q292" s="37"/>
      <c r="R292" s="37"/>
      <c r="U292" s="37" t="str">
        <f>IF(P292=""," ",(_xlfn.CONCAT(P292,VLOOKUP(P292,Dropdowns!$N$2:$R$19,2,1),Q292,VLOOKUP(P292,Dropdowns!$N$2:$R$19,3,1),R292,VLOOKUP(P292,Dropdowns!$N$2:$R$19,4,1),S292,Dropdowns!AB289,Dropdowns!R289,T292,)))</f>
        <v xml:space="preserve"> </v>
      </c>
    </row>
    <row r="293" spans="17:21" x14ac:dyDescent="0.25">
      <c r="Q293" s="37"/>
      <c r="R293" s="37"/>
      <c r="U293" s="37" t="str">
        <f>IF(P293=""," ",(_xlfn.CONCAT(P293,VLOOKUP(P293,Dropdowns!$N$2:$R$19,2,1),Q293,VLOOKUP(P293,Dropdowns!$N$2:$R$19,3,1),R293,VLOOKUP(P293,Dropdowns!$N$2:$R$19,4,1),S293,Dropdowns!AB290,Dropdowns!R290,T293,)))</f>
        <v xml:space="preserve"> </v>
      </c>
    </row>
    <row r="294" spans="17:21" x14ac:dyDescent="0.25">
      <c r="Q294" s="37"/>
      <c r="R294" s="37"/>
      <c r="U294" s="37" t="str">
        <f>IF(P294=""," ",(_xlfn.CONCAT(P294,VLOOKUP(P294,Dropdowns!$N$2:$R$19,2,1),Q294,VLOOKUP(P294,Dropdowns!$N$2:$R$19,3,1),R294,VLOOKUP(P294,Dropdowns!$N$2:$R$19,4,1),S294,Dropdowns!AB291,Dropdowns!R291,T294,)))</f>
        <v xml:space="preserve"> </v>
      </c>
    </row>
    <row r="295" spans="17:21" x14ac:dyDescent="0.25">
      <c r="Q295" s="37"/>
      <c r="R295" s="37"/>
      <c r="U295" s="37" t="str">
        <f>IF(P295=""," ",(_xlfn.CONCAT(P295,VLOOKUP(P295,Dropdowns!$N$2:$R$19,2,1),Q295,VLOOKUP(P295,Dropdowns!$N$2:$R$19,3,1),R295,VLOOKUP(P295,Dropdowns!$N$2:$R$19,4,1),S295,Dropdowns!AB292,Dropdowns!R292,T295,)))</f>
        <v xml:space="preserve"> </v>
      </c>
    </row>
    <row r="296" spans="17:21" x14ac:dyDescent="0.25">
      <c r="Q296" s="37"/>
      <c r="R296" s="37"/>
      <c r="U296" s="37" t="str">
        <f>IF(P296=""," ",(_xlfn.CONCAT(P296,VLOOKUP(P296,Dropdowns!$N$2:$R$19,2,1),Q296,VLOOKUP(P296,Dropdowns!$N$2:$R$19,3,1),R296,VLOOKUP(P296,Dropdowns!$N$2:$R$19,4,1),S296,Dropdowns!AB293,Dropdowns!R293,T296,)))</f>
        <v xml:space="preserve"> </v>
      </c>
    </row>
    <row r="297" spans="17:21" x14ac:dyDescent="0.25">
      <c r="Q297" s="37"/>
      <c r="R297" s="37"/>
      <c r="U297" s="37" t="str">
        <f>IF(P297=""," ",(_xlfn.CONCAT(P297,VLOOKUP(P297,Dropdowns!$N$2:$R$19,2,1),Q297,VLOOKUP(P297,Dropdowns!$N$2:$R$19,3,1),R297,VLOOKUP(P297,Dropdowns!$N$2:$R$19,4,1),S297,Dropdowns!AB294,Dropdowns!R294,T297,)))</f>
        <v xml:space="preserve"> </v>
      </c>
    </row>
    <row r="298" spans="17:21" x14ac:dyDescent="0.25">
      <c r="Q298" s="37"/>
      <c r="R298" s="37"/>
      <c r="U298" s="37" t="str">
        <f>IF(P298=""," ",(_xlfn.CONCAT(P298,VLOOKUP(P298,Dropdowns!$N$2:$R$19,2,1),Q298,VLOOKUP(P298,Dropdowns!$N$2:$R$19,3,1),R298,VLOOKUP(P298,Dropdowns!$N$2:$R$19,4,1),S298,Dropdowns!AB295,T298)))</f>
        <v xml:space="preserve"> </v>
      </c>
    </row>
    <row r="299" spans="17:21" x14ac:dyDescent="0.25">
      <c r="Q299" s="37"/>
      <c r="R299" s="37"/>
      <c r="U299" s="37" t="str">
        <f>IF(P299=""," ",(_xlfn.CONCAT(P299,VLOOKUP(P299,Dropdowns!$N$2:$R$19,2,1),Q299,VLOOKUP(P299,Dropdowns!$N$2:$R$19,3,1),R299,VLOOKUP(P299,Dropdowns!$N$2:$R$19,4,1),S299,Dropdowns!AB296,T299)))</f>
        <v xml:space="preserve"> </v>
      </c>
    </row>
    <row r="300" spans="17:21" x14ac:dyDescent="0.25">
      <c r="Q300" s="37"/>
      <c r="R300" s="37"/>
      <c r="U300" s="37" t="str">
        <f>IF(P300=""," ",(_xlfn.CONCAT(P300,VLOOKUP(P300,Dropdowns!$N$2:$R$19,2,1),Q300,VLOOKUP(P300,Dropdowns!$N$2:$R$19,3,1),R300,VLOOKUP(P300,Dropdowns!$N$2:$R$19,4,1),S300,Dropdowns!AB297,T300)))</f>
        <v xml:space="preserve"> </v>
      </c>
    </row>
    <row r="301" spans="17:21" x14ac:dyDescent="0.25">
      <c r="Q301" s="37"/>
      <c r="R301" s="37"/>
      <c r="U301" s="37" t="str">
        <f>IF(P301=""," ",(_xlfn.CONCAT(P301,VLOOKUP(P301,Dropdowns!$N$2:$R$19,2,1),Q301,VLOOKUP(P301,Dropdowns!$N$2:$R$19,3,1),R301,VLOOKUP(P301,Dropdowns!$N$2:$R$19,4,1),S301,Dropdowns!AB298,T301)))</f>
        <v xml:space="preserve"> </v>
      </c>
    </row>
    <row r="302" spans="17:21" x14ac:dyDescent="0.25">
      <c r="Q302" s="37"/>
      <c r="R302" s="37"/>
      <c r="U302" t="str">
        <f>IF(P302="","",_xlfn.CONCAT(P302, VLOOKUP(CreateGroup!P302,Dropdowns!X302:AB320,2,0), Q302, VLOOKUP(CreateGroup!P302,Dropdowns!X302:AB320,3,0),R302,VLOOKUP(CreateGroup!P302,Dropdowns!X302:AB320,4,0),S302, VLOOKUP(CreateGroup!P302,Dropdowns!X302:AB320,5,0)))</f>
        <v/>
      </c>
    </row>
    <row r="303" spans="17:21" x14ac:dyDescent="0.25">
      <c r="Q303" s="37"/>
      <c r="R303" s="37"/>
      <c r="U303" t="str">
        <f>IF(P303="","",_xlfn.CONCAT(P303, VLOOKUP(CreateGroup!P303,Dropdowns!X303:AB321,2,0), Q303, VLOOKUP(CreateGroup!P303,Dropdowns!X303:AB321,3,0),R303,VLOOKUP(CreateGroup!P303,Dropdowns!X303:AB321,4,0),S303, VLOOKUP(CreateGroup!P303,Dropdowns!X303:AB321,5,0)))</f>
        <v/>
      </c>
    </row>
    <row r="304" spans="17:21" x14ac:dyDescent="0.25">
      <c r="Q304" s="37"/>
      <c r="R304" s="37"/>
      <c r="U304" t="str">
        <f>IF(P304="","",_xlfn.CONCAT(P304, VLOOKUP(CreateGroup!P304,Dropdowns!X304:AB322,2,0), Q304, VLOOKUP(CreateGroup!P304,Dropdowns!X304:AB322,3,0),R304,VLOOKUP(CreateGroup!P304,Dropdowns!X304:AB322,4,0),S304, VLOOKUP(CreateGroup!P304,Dropdowns!X304:AB322,5,0)))</f>
        <v/>
      </c>
    </row>
    <row r="305" spans="17:21" x14ac:dyDescent="0.25">
      <c r="Q305" s="37"/>
      <c r="R305" s="37"/>
      <c r="U305" t="str">
        <f>IF(P305="","",_xlfn.CONCAT(P305, VLOOKUP(CreateGroup!P305,Dropdowns!X305:AB323,2,0), Q305, VLOOKUP(CreateGroup!P305,Dropdowns!X305:AB323,3,0),R305,VLOOKUP(CreateGroup!P305,Dropdowns!X305:AB323,4,0),S305, VLOOKUP(CreateGroup!P305,Dropdowns!X305:AB323,5,0)))</f>
        <v/>
      </c>
    </row>
    <row r="306" spans="17:21" x14ac:dyDescent="0.25">
      <c r="Q306" s="37"/>
      <c r="R306" s="37"/>
    </row>
    <row r="307" spans="17:21" x14ac:dyDescent="0.25">
      <c r="Q307" s="37"/>
      <c r="R307" s="37"/>
    </row>
    <row r="308" spans="17:21" x14ac:dyDescent="0.25">
      <c r="Q308" s="37"/>
      <c r="R308" s="37"/>
    </row>
    <row r="309" spans="17:21" x14ac:dyDescent="0.25">
      <c r="Q309" s="37"/>
      <c r="R309" s="37"/>
    </row>
    <row r="310" spans="17:21" x14ac:dyDescent="0.25">
      <c r="Q310" s="37"/>
      <c r="R310" s="37"/>
    </row>
    <row r="311" spans="17:21" x14ac:dyDescent="0.25">
      <c r="Q311" s="37"/>
      <c r="R311" s="37"/>
    </row>
    <row r="312" spans="17:21" x14ac:dyDescent="0.25">
      <c r="Q312" s="37"/>
      <c r="R312" s="37"/>
    </row>
    <row r="313" spans="17:21" x14ac:dyDescent="0.25">
      <c r="Q313" s="37"/>
      <c r="R313" s="37"/>
    </row>
    <row r="314" spans="17:21" x14ac:dyDescent="0.25">
      <c r="Q314" s="37"/>
      <c r="R314" s="37"/>
    </row>
    <row r="315" spans="17:21" x14ac:dyDescent="0.25">
      <c r="Q315" s="37"/>
      <c r="R315" s="37"/>
    </row>
    <row r="316" spans="17:21" x14ac:dyDescent="0.25">
      <c r="Q316" s="37"/>
      <c r="R316" s="37"/>
    </row>
    <row r="317" spans="17:21" x14ac:dyDescent="0.25">
      <c r="Q317" s="37"/>
      <c r="R317" s="37"/>
    </row>
    <row r="318" spans="17:21" x14ac:dyDescent="0.25">
      <c r="Q318" s="37"/>
      <c r="R318" s="37"/>
    </row>
    <row r="319" spans="17:21" x14ac:dyDescent="0.25">
      <c r="Q319" s="37"/>
      <c r="R319" s="37"/>
    </row>
    <row r="320" spans="17:21" x14ac:dyDescent="0.25">
      <c r="Q320" s="37"/>
      <c r="R320" s="37"/>
    </row>
    <row r="321" spans="17:18" x14ac:dyDescent="0.25">
      <c r="Q321" s="37"/>
      <c r="R321" s="37"/>
    </row>
    <row r="322" spans="17:18" x14ac:dyDescent="0.25">
      <c r="Q322" s="37"/>
      <c r="R322" s="37"/>
    </row>
    <row r="323" spans="17:18" x14ac:dyDescent="0.25">
      <c r="Q323" s="37"/>
      <c r="R323" s="37"/>
    </row>
    <row r="324" spans="17:18" x14ac:dyDescent="0.25">
      <c r="Q324" s="37"/>
      <c r="R324" s="37"/>
    </row>
    <row r="325" spans="17:18" x14ac:dyDescent="0.25">
      <c r="Q325" s="37"/>
      <c r="R325" s="37"/>
    </row>
    <row r="326" spans="17:18" x14ac:dyDescent="0.25">
      <c r="Q326" s="37"/>
      <c r="R326" s="37"/>
    </row>
    <row r="327" spans="17:18" x14ac:dyDescent="0.25">
      <c r="Q327" s="37"/>
      <c r="R327" s="37"/>
    </row>
    <row r="328" spans="17:18" x14ac:dyDescent="0.25">
      <c r="Q328" s="37"/>
      <c r="R328" s="37"/>
    </row>
    <row r="329" spans="17:18" x14ac:dyDescent="0.25">
      <c r="Q329" s="37"/>
      <c r="R329" s="37"/>
    </row>
    <row r="330" spans="17:18" x14ac:dyDescent="0.25">
      <c r="Q330" s="37"/>
      <c r="R330" s="37"/>
    </row>
    <row r="331" spans="17:18" x14ac:dyDescent="0.25">
      <c r="Q331" s="37"/>
      <c r="R331" s="37"/>
    </row>
    <row r="332" spans="17:18" x14ac:dyDescent="0.25">
      <c r="Q332" s="37"/>
      <c r="R332" s="37"/>
    </row>
    <row r="333" spans="17:18" x14ac:dyDescent="0.25">
      <c r="Q333" s="37"/>
      <c r="R333" s="37"/>
    </row>
    <row r="334" spans="17:18" x14ac:dyDescent="0.25">
      <c r="Q334" s="37"/>
    </row>
    <row r="335" spans="17:18" x14ac:dyDescent="0.25">
      <c r="Q335" s="37"/>
    </row>
    <row r="336" spans="17:18" x14ac:dyDescent="0.25">
      <c r="Q336" s="37"/>
    </row>
    <row r="337" spans="17:17" x14ac:dyDescent="0.25">
      <c r="Q337" s="37"/>
    </row>
    <row r="338" spans="17:17" x14ac:dyDescent="0.25">
      <c r="Q338" s="37"/>
    </row>
    <row r="339" spans="17:17" x14ac:dyDescent="0.25">
      <c r="Q339" s="37"/>
    </row>
    <row r="340" spans="17:17" x14ac:dyDescent="0.25">
      <c r="Q340" s="37"/>
    </row>
    <row r="341" spans="17:17" x14ac:dyDescent="0.25">
      <c r="Q341" s="37"/>
    </row>
    <row r="342" spans="17:17" x14ac:dyDescent="0.25">
      <c r="Q342" s="37"/>
    </row>
    <row r="343" spans="17:17" x14ac:dyDescent="0.25">
      <c r="Q343" s="37"/>
    </row>
    <row r="344" spans="17:17" x14ac:dyDescent="0.25">
      <c r="Q344" s="37"/>
    </row>
    <row r="345" spans="17:17" x14ac:dyDescent="0.25">
      <c r="Q345" s="37"/>
    </row>
    <row r="346" spans="17:17" x14ac:dyDescent="0.25">
      <c r="Q346" s="37"/>
    </row>
    <row r="347" spans="17:17" x14ac:dyDescent="0.25">
      <c r="Q347" s="37"/>
    </row>
    <row r="348" spans="17:17" x14ac:dyDescent="0.25">
      <c r="Q348" s="37"/>
    </row>
    <row r="349" spans="17:17" x14ac:dyDescent="0.25">
      <c r="Q349" s="37"/>
    </row>
    <row r="350" spans="17:17" x14ac:dyDescent="0.25">
      <c r="Q350" s="37"/>
    </row>
    <row r="351" spans="17:17" x14ac:dyDescent="0.25">
      <c r="Q351" s="37"/>
    </row>
    <row r="352" spans="17:17" x14ac:dyDescent="0.25">
      <c r="Q352" s="37"/>
    </row>
    <row r="353" spans="17:17" x14ac:dyDescent="0.25">
      <c r="Q353" s="37"/>
    </row>
    <row r="354" spans="17:17" x14ac:dyDescent="0.25">
      <c r="Q354" s="37"/>
    </row>
    <row r="355" spans="17:17" x14ac:dyDescent="0.25">
      <c r="Q355" s="37"/>
    </row>
    <row r="356" spans="17:17" x14ac:dyDescent="0.25">
      <c r="Q356" s="37"/>
    </row>
    <row r="357" spans="17:17" x14ac:dyDescent="0.25">
      <c r="Q357" s="37"/>
    </row>
    <row r="358" spans="17:17" x14ac:dyDescent="0.25">
      <c r="Q358" s="37"/>
    </row>
    <row r="359" spans="17:17" x14ac:dyDescent="0.25">
      <c r="Q359" s="37"/>
    </row>
    <row r="360" spans="17:17" x14ac:dyDescent="0.25">
      <c r="Q360" s="37"/>
    </row>
    <row r="361" spans="17:17" x14ac:dyDescent="0.25">
      <c r="Q361" s="37"/>
    </row>
    <row r="362" spans="17:17" x14ac:dyDescent="0.25">
      <c r="Q362" s="37"/>
    </row>
    <row r="363" spans="17:17" x14ac:dyDescent="0.25">
      <c r="Q363" s="37"/>
    </row>
    <row r="364" spans="17:17" x14ac:dyDescent="0.25">
      <c r="Q364" s="37"/>
    </row>
    <row r="365" spans="17:17" x14ac:dyDescent="0.25">
      <c r="Q365" s="37"/>
    </row>
    <row r="366" spans="17:17" x14ac:dyDescent="0.25">
      <c r="Q366" s="37"/>
    </row>
    <row r="367" spans="17:17" x14ac:dyDescent="0.25">
      <c r="Q367" s="37"/>
    </row>
    <row r="368" spans="17:17" x14ac:dyDescent="0.25">
      <c r="Q368" s="37"/>
    </row>
    <row r="369" spans="17:17" x14ac:dyDescent="0.25">
      <c r="Q369" s="37"/>
    </row>
    <row r="370" spans="17:17" x14ac:dyDescent="0.25">
      <c r="Q370" s="37"/>
    </row>
    <row r="371" spans="17:17" x14ac:dyDescent="0.25">
      <c r="Q371" s="37"/>
    </row>
    <row r="372" spans="17:17" x14ac:dyDescent="0.25">
      <c r="Q372" s="37"/>
    </row>
    <row r="373" spans="17:17" x14ac:dyDescent="0.25">
      <c r="Q373" s="37"/>
    </row>
    <row r="374" spans="17:17" x14ac:dyDescent="0.25">
      <c r="Q374" s="37"/>
    </row>
    <row r="375" spans="17:17" x14ac:dyDescent="0.25">
      <c r="Q375" s="37"/>
    </row>
    <row r="376" spans="17:17" x14ac:dyDescent="0.25">
      <c r="Q376" s="37"/>
    </row>
    <row r="377" spans="17:17" x14ac:dyDescent="0.25">
      <c r="Q377" s="37"/>
    </row>
    <row r="378" spans="17:17" x14ac:dyDescent="0.25">
      <c r="Q378" s="37"/>
    </row>
    <row r="379" spans="17:17" x14ac:dyDescent="0.25">
      <c r="Q379" s="37"/>
    </row>
    <row r="380" spans="17:17" x14ac:dyDescent="0.25">
      <c r="Q380" s="37"/>
    </row>
    <row r="381" spans="17:17" x14ac:dyDescent="0.25">
      <c r="Q381" s="37"/>
    </row>
    <row r="382" spans="17:17" x14ac:dyDescent="0.25">
      <c r="Q382" s="37"/>
    </row>
    <row r="383" spans="17:17" x14ac:dyDescent="0.25">
      <c r="Q383" s="37"/>
    </row>
    <row r="384" spans="17:17" x14ac:dyDescent="0.25">
      <c r="Q384" s="37"/>
    </row>
    <row r="385" spans="17:17" x14ac:dyDescent="0.25">
      <c r="Q385" s="37"/>
    </row>
    <row r="386" spans="17:17" x14ac:dyDescent="0.25">
      <c r="Q386" s="37"/>
    </row>
    <row r="387" spans="17:17" x14ac:dyDescent="0.25">
      <c r="Q387" s="37"/>
    </row>
    <row r="388" spans="17:17" x14ac:dyDescent="0.25">
      <c r="Q388" s="37"/>
    </row>
    <row r="389" spans="17:17" x14ac:dyDescent="0.25">
      <c r="Q389" s="37"/>
    </row>
    <row r="390" spans="17:17" x14ac:dyDescent="0.25">
      <c r="Q390" s="37"/>
    </row>
    <row r="391" spans="17:17" x14ac:dyDescent="0.25">
      <c r="Q391" s="37"/>
    </row>
    <row r="392" spans="17:17" x14ac:dyDescent="0.25">
      <c r="Q392" s="37"/>
    </row>
    <row r="393" spans="17:17" x14ac:dyDescent="0.25">
      <c r="Q393" s="37"/>
    </row>
    <row r="394" spans="17:17" x14ac:dyDescent="0.25">
      <c r="Q394" s="37"/>
    </row>
    <row r="395" spans="17:17" x14ac:dyDescent="0.25">
      <c r="Q395" s="37"/>
    </row>
    <row r="396" spans="17:17" x14ac:dyDescent="0.25">
      <c r="Q396" s="37"/>
    </row>
    <row r="397" spans="17:17" x14ac:dyDescent="0.25">
      <c r="Q397" s="37"/>
    </row>
    <row r="398" spans="17:17" x14ac:dyDescent="0.25">
      <c r="Q398" s="37"/>
    </row>
    <row r="399" spans="17:17" x14ac:dyDescent="0.25">
      <c r="Q399" s="37"/>
    </row>
    <row r="400" spans="17:17" x14ac:dyDescent="0.25">
      <c r="Q400" s="37"/>
    </row>
    <row r="401" spans="17:17" x14ac:dyDescent="0.25">
      <c r="Q401" s="37"/>
    </row>
    <row r="402" spans="17:17" x14ac:dyDescent="0.25">
      <c r="Q402" s="37"/>
    </row>
    <row r="403" spans="17:17" x14ac:dyDescent="0.25">
      <c r="Q403" s="37"/>
    </row>
    <row r="404" spans="17:17" x14ac:dyDescent="0.25">
      <c r="Q404" s="37"/>
    </row>
    <row r="405" spans="17:17" x14ac:dyDescent="0.25">
      <c r="Q405" s="37"/>
    </row>
    <row r="406" spans="17:17" x14ac:dyDescent="0.25">
      <c r="Q406" s="37"/>
    </row>
    <row r="407" spans="17:17" x14ac:dyDescent="0.25">
      <c r="Q407" s="37"/>
    </row>
    <row r="408" spans="17:17" x14ac:dyDescent="0.25">
      <c r="Q408" s="37"/>
    </row>
    <row r="409" spans="17:17" x14ac:dyDescent="0.25">
      <c r="Q409" s="37"/>
    </row>
    <row r="410" spans="17:17" x14ac:dyDescent="0.25">
      <c r="Q410" s="37"/>
    </row>
    <row r="411" spans="17:17" x14ac:dyDescent="0.25">
      <c r="Q411" s="37"/>
    </row>
    <row r="412" spans="17:17" x14ac:dyDescent="0.25">
      <c r="Q412" s="37"/>
    </row>
    <row r="413" spans="17:17" x14ac:dyDescent="0.25">
      <c r="Q413" s="37"/>
    </row>
    <row r="414" spans="17:17" x14ac:dyDescent="0.25">
      <c r="Q414" s="37"/>
    </row>
    <row r="415" spans="17:17" x14ac:dyDescent="0.25">
      <c r="Q415" s="37"/>
    </row>
    <row r="416" spans="17:17" x14ac:dyDescent="0.25">
      <c r="Q416" s="37"/>
    </row>
    <row r="417" spans="17:17" x14ac:dyDescent="0.25">
      <c r="Q417" s="37"/>
    </row>
    <row r="418" spans="17:17" x14ac:dyDescent="0.25">
      <c r="Q418" s="37"/>
    </row>
    <row r="419" spans="17:17" x14ac:dyDescent="0.25">
      <c r="Q419" s="37"/>
    </row>
    <row r="420" spans="17:17" x14ac:dyDescent="0.25">
      <c r="Q420" s="37"/>
    </row>
    <row r="421" spans="17:17" x14ac:dyDescent="0.25">
      <c r="Q421" s="37"/>
    </row>
    <row r="422" spans="17:17" x14ac:dyDescent="0.25">
      <c r="Q422" s="37"/>
    </row>
    <row r="423" spans="17:17" x14ac:dyDescent="0.25">
      <c r="Q423" s="37"/>
    </row>
    <row r="424" spans="17:17" x14ac:dyDescent="0.25">
      <c r="Q424" s="37"/>
    </row>
    <row r="425" spans="17:17" x14ac:dyDescent="0.25">
      <c r="Q425" s="37"/>
    </row>
    <row r="426" spans="17:17" x14ac:dyDescent="0.25">
      <c r="Q426" s="37"/>
    </row>
    <row r="427" spans="17:17" x14ac:dyDescent="0.25">
      <c r="Q427" s="37"/>
    </row>
    <row r="428" spans="17:17" x14ac:dyDescent="0.25">
      <c r="Q428" s="37"/>
    </row>
    <row r="429" spans="17:17" x14ac:dyDescent="0.25">
      <c r="Q429" s="37"/>
    </row>
    <row r="430" spans="17:17" x14ac:dyDescent="0.25">
      <c r="Q430" s="37"/>
    </row>
    <row r="431" spans="17:17" x14ac:dyDescent="0.25">
      <c r="Q431" s="37"/>
    </row>
    <row r="432" spans="17:17" x14ac:dyDescent="0.25">
      <c r="Q432" s="37"/>
    </row>
    <row r="433" spans="17:17" x14ac:dyDescent="0.25">
      <c r="Q433" s="37"/>
    </row>
    <row r="434" spans="17:17" x14ac:dyDescent="0.25">
      <c r="Q434" s="37"/>
    </row>
    <row r="435" spans="17:17" x14ac:dyDescent="0.25">
      <c r="Q435" s="37"/>
    </row>
    <row r="436" spans="17:17" x14ac:dyDescent="0.25">
      <c r="Q436" s="37"/>
    </row>
    <row r="437" spans="17:17" x14ac:dyDescent="0.25">
      <c r="Q437" s="37"/>
    </row>
    <row r="438" spans="17:17" x14ac:dyDescent="0.25">
      <c r="Q438" s="37"/>
    </row>
    <row r="439" spans="17:17" x14ac:dyDescent="0.25">
      <c r="Q439" s="37"/>
    </row>
    <row r="440" spans="17:17" x14ac:dyDescent="0.25">
      <c r="Q440" s="37"/>
    </row>
    <row r="441" spans="17:17" x14ac:dyDescent="0.25">
      <c r="Q441" s="37"/>
    </row>
    <row r="442" spans="17:17" x14ac:dyDescent="0.25">
      <c r="Q442" s="37"/>
    </row>
    <row r="443" spans="17:17" x14ac:dyDescent="0.25">
      <c r="Q443" s="37"/>
    </row>
    <row r="444" spans="17:17" x14ac:dyDescent="0.25">
      <c r="Q444" s="37"/>
    </row>
    <row r="445" spans="17:17" x14ac:dyDescent="0.25">
      <c r="Q445" s="37"/>
    </row>
    <row r="446" spans="17:17" x14ac:dyDescent="0.25">
      <c r="Q446" s="37"/>
    </row>
    <row r="447" spans="17:17" x14ac:dyDescent="0.25">
      <c r="Q447" s="37"/>
    </row>
    <row r="448" spans="17:17" x14ac:dyDescent="0.25">
      <c r="Q448" s="37"/>
    </row>
    <row r="449" spans="17:17" x14ac:dyDescent="0.25">
      <c r="Q449" s="37"/>
    </row>
    <row r="450" spans="17:17" x14ac:dyDescent="0.25">
      <c r="Q450" s="37"/>
    </row>
    <row r="451" spans="17:17" x14ac:dyDescent="0.25">
      <c r="Q451" s="37"/>
    </row>
    <row r="452" spans="17:17" x14ac:dyDescent="0.25">
      <c r="Q452" s="37"/>
    </row>
    <row r="453" spans="17:17" x14ac:dyDescent="0.25">
      <c r="Q453" s="37"/>
    </row>
    <row r="454" spans="17:17" x14ac:dyDescent="0.25">
      <c r="Q454" s="37"/>
    </row>
    <row r="455" spans="17:17" x14ac:dyDescent="0.25">
      <c r="Q455" s="37"/>
    </row>
    <row r="456" spans="17:17" x14ac:dyDescent="0.25">
      <c r="Q456" s="37"/>
    </row>
    <row r="457" spans="17:17" x14ac:dyDescent="0.25">
      <c r="Q457" s="37"/>
    </row>
    <row r="458" spans="17:17" x14ac:dyDescent="0.25">
      <c r="Q458" s="37"/>
    </row>
    <row r="459" spans="17:17" x14ac:dyDescent="0.25">
      <c r="Q459" s="37"/>
    </row>
    <row r="460" spans="17:17" x14ac:dyDescent="0.25">
      <c r="Q460" s="37"/>
    </row>
    <row r="461" spans="17:17" x14ac:dyDescent="0.25">
      <c r="Q461" s="37"/>
    </row>
    <row r="462" spans="17:17" x14ac:dyDescent="0.25">
      <c r="Q462" s="37"/>
    </row>
    <row r="463" spans="17:17" x14ac:dyDescent="0.25">
      <c r="Q463" s="37"/>
    </row>
    <row r="464" spans="17:17" x14ac:dyDescent="0.25">
      <c r="Q464" s="37"/>
    </row>
    <row r="465" spans="17:17" x14ac:dyDescent="0.25">
      <c r="Q465" s="37"/>
    </row>
    <row r="466" spans="17:17" x14ac:dyDescent="0.25">
      <c r="Q466" s="37"/>
    </row>
    <row r="467" spans="17:17" x14ac:dyDescent="0.25">
      <c r="Q467" s="37"/>
    </row>
    <row r="468" spans="17:17" x14ac:dyDescent="0.25">
      <c r="Q468" s="37"/>
    </row>
    <row r="469" spans="17:17" x14ac:dyDescent="0.25">
      <c r="Q469" s="37"/>
    </row>
    <row r="470" spans="17:17" x14ac:dyDescent="0.25">
      <c r="Q470" s="37"/>
    </row>
    <row r="471" spans="17:17" x14ac:dyDescent="0.25">
      <c r="Q471" s="37"/>
    </row>
    <row r="472" spans="17:17" x14ac:dyDescent="0.25">
      <c r="Q472" s="37"/>
    </row>
    <row r="473" spans="17:17" x14ac:dyDescent="0.25">
      <c r="Q473" s="37"/>
    </row>
    <row r="474" spans="17:17" x14ac:dyDescent="0.25">
      <c r="Q474" s="37"/>
    </row>
    <row r="475" spans="17:17" x14ac:dyDescent="0.25">
      <c r="Q475" s="37"/>
    </row>
    <row r="476" spans="17:17" x14ac:dyDescent="0.25">
      <c r="Q476" s="37"/>
    </row>
    <row r="477" spans="17:17" x14ac:dyDescent="0.25">
      <c r="Q477" s="37"/>
    </row>
    <row r="478" spans="17:17" x14ac:dyDescent="0.25">
      <c r="Q478" s="37"/>
    </row>
    <row r="479" spans="17:17" x14ac:dyDescent="0.25">
      <c r="Q479" s="37"/>
    </row>
    <row r="480" spans="17:17" x14ac:dyDescent="0.25">
      <c r="Q480" s="37"/>
    </row>
    <row r="481" spans="17:17" x14ac:dyDescent="0.25">
      <c r="Q481" s="37"/>
    </row>
    <row r="482" spans="17:17" x14ac:dyDescent="0.25">
      <c r="Q482" s="37"/>
    </row>
    <row r="483" spans="17:17" x14ac:dyDescent="0.25">
      <c r="Q483" s="37"/>
    </row>
    <row r="484" spans="17:17" x14ac:dyDescent="0.25">
      <c r="Q484" s="37"/>
    </row>
    <row r="485" spans="17:17" x14ac:dyDescent="0.25">
      <c r="Q485" s="37"/>
    </row>
    <row r="486" spans="17:17" x14ac:dyDescent="0.25">
      <c r="Q486" s="37"/>
    </row>
    <row r="487" spans="17:17" x14ac:dyDescent="0.25">
      <c r="Q487" s="37"/>
    </row>
    <row r="488" spans="17:17" x14ac:dyDescent="0.25">
      <c r="Q488" s="37"/>
    </row>
    <row r="489" spans="17:17" x14ac:dyDescent="0.25">
      <c r="Q489" s="37"/>
    </row>
    <row r="490" spans="17:17" x14ac:dyDescent="0.25">
      <c r="Q490" s="37"/>
    </row>
    <row r="491" spans="17:17" x14ac:dyDescent="0.25">
      <c r="Q491" s="37"/>
    </row>
    <row r="492" spans="17:17" x14ac:dyDescent="0.25">
      <c r="Q492" s="37"/>
    </row>
    <row r="493" spans="17:17" x14ac:dyDescent="0.25">
      <c r="Q493" s="37"/>
    </row>
    <row r="494" spans="17:17" x14ac:dyDescent="0.25">
      <c r="Q494" s="37"/>
    </row>
    <row r="495" spans="17:17" x14ac:dyDescent="0.25">
      <c r="Q495" s="37"/>
    </row>
    <row r="496" spans="17:17" x14ac:dyDescent="0.25">
      <c r="Q496" s="37"/>
    </row>
    <row r="497" spans="17:17" x14ac:dyDescent="0.25">
      <c r="Q497" s="37"/>
    </row>
    <row r="498" spans="17:17" x14ac:dyDescent="0.25">
      <c r="Q498" s="37"/>
    </row>
    <row r="499" spans="17:17" x14ac:dyDescent="0.25">
      <c r="Q499" s="37"/>
    </row>
    <row r="500" spans="17:17" x14ac:dyDescent="0.25">
      <c r="Q500" s="37"/>
    </row>
    <row r="501" spans="17:17" x14ac:dyDescent="0.25">
      <c r="Q501" s="37"/>
    </row>
    <row r="502" spans="17:17" x14ac:dyDescent="0.25">
      <c r="Q502" s="37"/>
    </row>
    <row r="503" spans="17:17" x14ac:dyDescent="0.25">
      <c r="Q503" s="37"/>
    </row>
    <row r="504" spans="17:17" x14ac:dyDescent="0.25">
      <c r="Q504" s="37"/>
    </row>
    <row r="505" spans="17:17" x14ac:dyDescent="0.25">
      <c r="Q505" s="37"/>
    </row>
    <row r="506" spans="17:17" x14ac:dyDescent="0.25">
      <c r="Q506" s="37"/>
    </row>
    <row r="507" spans="17:17" x14ac:dyDescent="0.25">
      <c r="Q507" s="37"/>
    </row>
    <row r="508" spans="17:17" x14ac:dyDescent="0.25">
      <c r="Q508" s="37"/>
    </row>
    <row r="509" spans="17:17" x14ac:dyDescent="0.25">
      <c r="Q509" s="37"/>
    </row>
    <row r="510" spans="17:17" x14ac:dyDescent="0.25">
      <c r="Q510" s="37"/>
    </row>
    <row r="511" spans="17:17" x14ac:dyDescent="0.25">
      <c r="Q511" s="37"/>
    </row>
    <row r="512" spans="17:17" x14ac:dyDescent="0.25">
      <c r="Q512" s="37"/>
    </row>
    <row r="513" spans="17:17" x14ac:dyDescent="0.25">
      <c r="Q513" s="37"/>
    </row>
    <row r="514" spans="17:17" x14ac:dyDescent="0.25">
      <c r="Q514" s="37"/>
    </row>
    <row r="515" spans="17:17" x14ac:dyDescent="0.25">
      <c r="Q515" s="37"/>
    </row>
    <row r="516" spans="17:17" x14ac:dyDescent="0.25">
      <c r="Q516" s="37"/>
    </row>
    <row r="517" spans="17:17" x14ac:dyDescent="0.25">
      <c r="Q517" s="37"/>
    </row>
    <row r="518" spans="17:17" x14ac:dyDescent="0.25">
      <c r="Q518" s="37"/>
    </row>
    <row r="519" spans="17:17" x14ac:dyDescent="0.25">
      <c r="Q519" s="37"/>
    </row>
    <row r="520" spans="17:17" x14ac:dyDescent="0.25">
      <c r="Q520" s="37"/>
    </row>
    <row r="521" spans="17:17" x14ac:dyDescent="0.25">
      <c r="Q521" s="37"/>
    </row>
    <row r="522" spans="17:17" x14ac:dyDescent="0.25">
      <c r="Q522" s="37"/>
    </row>
    <row r="523" spans="17:17" x14ac:dyDescent="0.25">
      <c r="Q523" s="37"/>
    </row>
    <row r="524" spans="17:17" x14ac:dyDescent="0.25">
      <c r="Q524" s="37"/>
    </row>
    <row r="525" spans="17:17" x14ac:dyDescent="0.25">
      <c r="Q525" s="37"/>
    </row>
    <row r="526" spans="17:17" x14ac:dyDescent="0.25">
      <c r="Q526" s="37"/>
    </row>
    <row r="527" spans="17:17" x14ac:dyDescent="0.25">
      <c r="Q527" s="37"/>
    </row>
    <row r="528" spans="17:17" x14ac:dyDescent="0.25">
      <c r="Q528" s="37"/>
    </row>
    <row r="529" spans="17:17" x14ac:dyDescent="0.25">
      <c r="Q529" s="37"/>
    </row>
    <row r="530" spans="17:17" x14ac:dyDescent="0.25">
      <c r="Q530" s="37"/>
    </row>
    <row r="531" spans="17:17" x14ac:dyDescent="0.25">
      <c r="Q531" s="37"/>
    </row>
    <row r="532" spans="17:17" x14ac:dyDescent="0.25">
      <c r="Q532" s="37"/>
    </row>
    <row r="533" spans="17:17" x14ac:dyDescent="0.25">
      <c r="Q533" s="37"/>
    </row>
    <row r="534" spans="17:17" x14ac:dyDescent="0.25">
      <c r="Q534" s="37"/>
    </row>
    <row r="535" spans="17:17" x14ac:dyDescent="0.25">
      <c r="Q535" s="37"/>
    </row>
    <row r="536" spans="17:17" x14ac:dyDescent="0.25">
      <c r="Q536" s="37"/>
    </row>
    <row r="537" spans="17:17" x14ac:dyDescent="0.25">
      <c r="Q537" s="37"/>
    </row>
    <row r="538" spans="17:17" x14ac:dyDescent="0.25">
      <c r="Q538" s="37"/>
    </row>
    <row r="539" spans="17:17" x14ac:dyDescent="0.25">
      <c r="Q539" s="37"/>
    </row>
    <row r="540" spans="17:17" x14ac:dyDescent="0.25">
      <c r="Q540" s="37"/>
    </row>
    <row r="541" spans="17:17" x14ac:dyDescent="0.25">
      <c r="Q541" s="37"/>
    </row>
    <row r="542" spans="17:17" x14ac:dyDescent="0.25">
      <c r="Q542" s="37"/>
    </row>
    <row r="543" spans="17:17" x14ac:dyDescent="0.25">
      <c r="Q543" s="37"/>
    </row>
    <row r="544" spans="17:17" x14ac:dyDescent="0.25">
      <c r="Q544" s="37"/>
    </row>
    <row r="545" spans="17:17" x14ac:dyDescent="0.25">
      <c r="Q545" s="37"/>
    </row>
    <row r="546" spans="17:17" x14ac:dyDescent="0.25">
      <c r="Q546" s="37"/>
    </row>
    <row r="547" spans="17:17" x14ac:dyDescent="0.25">
      <c r="Q547" s="37"/>
    </row>
    <row r="548" spans="17:17" x14ac:dyDescent="0.25">
      <c r="Q548" s="37"/>
    </row>
    <row r="549" spans="17:17" x14ac:dyDescent="0.25">
      <c r="Q549" s="37"/>
    </row>
    <row r="550" spans="17:17" x14ac:dyDescent="0.25">
      <c r="Q550" s="37"/>
    </row>
    <row r="551" spans="17:17" x14ac:dyDescent="0.25">
      <c r="Q551" s="37"/>
    </row>
    <row r="552" spans="17:17" x14ac:dyDescent="0.25">
      <c r="Q552" s="37"/>
    </row>
    <row r="553" spans="17:17" x14ac:dyDescent="0.25">
      <c r="Q553" s="37"/>
    </row>
    <row r="554" spans="17:17" x14ac:dyDescent="0.25">
      <c r="Q554" s="37"/>
    </row>
    <row r="555" spans="17:17" x14ac:dyDescent="0.25">
      <c r="Q555" s="37"/>
    </row>
    <row r="556" spans="17:17" x14ac:dyDescent="0.25">
      <c r="Q556" s="37"/>
    </row>
    <row r="557" spans="17:17" x14ac:dyDescent="0.25">
      <c r="Q557" s="37"/>
    </row>
    <row r="558" spans="17:17" x14ac:dyDescent="0.25">
      <c r="Q558" s="37"/>
    </row>
    <row r="559" spans="17:17" x14ac:dyDescent="0.25">
      <c r="Q559" s="37"/>
    </row>
    <row r="560" spans="17:17" x14ac:dyDescent="0.25">
      <c r="Q560" s="37"/>
    </row>
    <row r="561" spans="17:17" x14ac:dyDescent="0.25">
      <c r="Q561" s="37"/>
    </row>
    <row r="562" spans="17:17" x14ac:dyDescent="0.25">
      <c r="Q562" s="37"/>
    </row>
    <row r="563" spans="17:17" x14ac:dyDescent="0.25">
      <c r="Q563" s="37"/>
    </row>
    <row r="564" spans="17:17" x14ac:dyDescent="0.25">
      <c r="Q564" s="37"/>
    </row>
    <row r="565" spans="17:17" x14ac:dyDescent="0.25">
      <c r="Q565" s="37"/>
    </row>
    <row r="566" spans="17:17" x14ac:dyDescent="0.25">
      <c r="Q566" s="37"/>
    </row>
    <row r="567" spans="17:17" x14ac:dyDescent="0.25">
      <c r="Q567" s="37"/>
    </row>
    <row r="568" spans="17:17" x14ac:dyDescent="0.25">
      <c r="Q568" s="37"/>
    </row>
    <row r="569" spans="17:17" x14ac:dyDescent="0.25">
      <c r="Q569" s="37"/>
    </row>
    <row r="570" spans="17:17" x14ac:dyDescent="0.25">
      <c r="Q570" s="37"/>
    </row>
    <row r="571" spans="17:17" x14ac:dyDescent="0.25">
      <c r="Q571" s="37"/>
    </row>
    <row r="572" spans="17:17" x14ac:dyDescent="0.25">
      <c r="Q572" s="37"/>
    </row>
    <row r="573" spans="17:17" x14ac:dyDescent="0.25">
      <c r="Q573" s="37"/>
    </row>
    <row r="574" spans="17:17" x14ac:dyDescent="0.25">
      <c r="Q574" s="37"/>
    </row>
    <row r="575" spans="17:17" x14ac:dyDescent="0.25">
      <c r="Q575" s="37"/>
    </row>
    <row r="576" spans="17:17" x14ac:dyDescent="0.25">
      <c r="Q576" s="37"/>
    </row>
    <row r="577" spans="17:17" x14ac:dyDescent="0.25">
      <c r="Q577" s="37"/>
    </row>
    <row r="578" spans="17:17" x14ac:dyDescent="0.25">
      <c r="Q578" s="37"/>
    </row>
    <row r="579" spans="17:17" x14ac:dyDescent="0.25">
      <c r="Q579" s="37"/>
    </row>
    <row r="580" spans="17:17" x14ac:dyDescent="0.25">
      <c r="Q580" s="37"/>
    </row>
    <row r="581" spans="17:17" x14ac:dyDescent="0.25">
      <c r="Q581" s="37"/>
    </row>
    <row r="582" spans="17:17" x14ac:dyDescent="0.25">
      <c r="Q582" s="37"/>
    </row>
    <row r="583" spans="17:17" x14ac:dyDescent="0.25">
      <c r="Q583" s="37"/>
    </row>
    <row r="584" spans="17:17" x14ac:dyDescent="0.25">
      <c r="Q584" s="37"/>
    </row>
    <row r="585" spans="17:17" x14ac:dyDescent="0.25">
      <c r="Q585" s="37"/>
    </row>
    <row r="586" spans="17:17" x14ac:dyDescent="0.25">
      <c r="Q586" s="37"/>
    </row>
    <row r="587" spans="17:17" x14ac:dyDescent="0.25">
      <c r="Q587" s="37"/>
    </row>
    <row r="588" spans="17:17" x14ac:dyDescent="0.25">
      <c r="Q588" s="37"/>
    </row>
    <row r="589" spans="17:17" x14ac:dyDescent="0.25">
      <c r="Q589" s="37"/>
    </row>
    <row r="590" spans="17:17" x14ac:dyDescent="0.25">
      <c r="Q590" s="37"/>
    </row>
    <row r="591" spans="17:17" x14ac:dyDescent="0.25">
      <c r="Q591" s="37"/>
    </row>
    <row r="592" spans="17:17" x14ac:dyDescent="0.25">
      <c r="Q592" s="37"/>
    </row>
    <row r="593" spans="17:17" x14ac:dyDescent="0.25">
      <c r="Q593" s="37"/>
    </row>
    <row r="594" spans="17:17" x14ac:dyDescent="0.25">
      <c r="Q594" s="37"/>
    </row>
    <row r="595" spans="17:17" x14ac:dyDescent="0.25">
      <c r="Q595" s="37"/>
    </row>
    <row r="596" spans="17:17" x14ac:dyDescent="0.25">
      <c r="Q596" s="37"/>
    </row>
    <row r="597" spans="17:17" x14ac:dyDescent="0.25">
      <c r="Q597" s="37"/>
    </row>
    <row r="598" spans="17:17" x14ac:dyDescent="0.25">
      <c r="Q598" s="37"/>
    </row>
    <row r="599" spans="17:17" x14ac:dyDescent="0.25">
      <c r="Q599" s="37"/>
    </row>
    <row r="600" spans="17:17" x14ac:dyDescent="0.25">
      <c r="Q600" s="37"/>
    </row>
    <row r="601" spans="17:17" x14ac:dyDescent="0.25">
      <c r="Q601" s="37"/>
    </row>
    <row r="602" spans="17:17" x14ac:dyDescent="0.25">
      <c r="Q602" s="37"/>
    </row>
    <row r="603" spans="17:17" x14ac:dyDescent="0.25">
      <c r="Q603" s="37"/>
    </row>
    <row r="604" spans="17:17" x14ac:dyDescent="0.25">
      <c r="Q604" s="37"/>
    </row>
    <row r="605" spans="17:17" x14ac:dyDescent="0.25">
      <c r="Q605" s="37"/>
    </row>
    <row r="606" spans="17:17" x14ac:dyDescent="0.25">
      <c r="Q606" s="37"/>
    </row>
    <row r="607" spans="17:17" x14ac:dyDescent="0.25">
      <c r="Q607" s="37"/>
    </row>
    <row r="608" spans="17:17" x14ac:dyDescent="0.25">
      <c r="Q608" s="37"/>
    </row>
    <row r="609" spans="17:17" x14ac:dyDescent="0.25">
      <c r="Q609" s="37"/>
    </row>
    <row r="610" spans="17:17" x14ac:dyDescent="0.25">
      <c r="Q610" s="37"/>
    </row>
    <row r="611" spans="17:17" x14ac:dyDescent="0.25">
      <c r="Q611" s="37"/>
    </row>
    <row r="612" spans="17:17" x14ac:dyDescent="0.25">
      <c r="Q612" s="37"/>
    </row>
    <row r="613" spans="17:17" x14ac:dyDescent="0.25">
      <c r="Q613" s="37"/>
    </row>
    <row r="614" spans="17:17" x14ac:dyDescent="0.25">
      <c r="Q614" s="37"/>
    </row>
    <row r="615" spans="17:17" x14ac:dyDescent="0.25">
      <c r="Q615" s="37"/>
    </row>
    <row r="616" spans="17:17" x14ac:dyDescent="0.25">
      <c r="Q616" s="37"/>
    </row>
    <row r="617" spans="17:17" x14ac:dyDescent="0.25">
      <c r="Q617" s="37"/>
    </row>
    <row r="618" spans="17:17" x14ac:dyDescent="0.25">
      <c r="Q618" s="37"/>
    </row>
    <row r="619" spans="17:17" x14ac:dyDescent="0.25">
      <c r="Q619" s="37"/>
    </row>
    <row r="620" spans="17:17" x14ac:dyDescent="0.25">
      <c r="Q620" s="37"/>
    </row>
    <row r="621" spans="17:17" x14ac:dyDescent="0.25">
      <c r="Q621" s="37"/>
    </row>
    <row r="622" spans="17:17" x14ac:dyDescent="0.25">
      <c r="Q622" s="37"/>
    </row>
    <row r="623" spans="17:17" x14ac:dyDescent="0.25">
      <c r="Q623" s="37"/>
    </row>
    <row r="624" spans="17:17" x14ac:dyDescent="0.25">
      <c r="Q624" s="37"/>
    </row>
    <row r="625" spans="17:17" x14ac:dyDescent="0.25">
      <c r="Q625" s="37"/>
    </row>
    <row r="626" spans="17:17" x14ac:dyDescent="0.25">
      <c r="Q626" s="37"/>
    </row>
    <row r="627" spans="17:17" x14ac:dyDescent="0.25">
      <c r="Q627" s="37"/>
    </row>
    <row r="628" spans="17:17" x14ac:dyDescent="0.25">
      <c r="Q628" s="37"/>
    </row>
    <row r="629" spans="17:17" x14ac:dyDescent="0.25">
      <c r="Q629" s="37"/>
    </row>
    <row r="630" spans="17:17" x14ac:dyDescent="0.25">
      <c r="Q630" s="37"/>
    </row>
    <row r="631" spans="17:17" x14ac:dyDescent="0.25">
      <c r="Q631" s="37"/>
    </row>
    <row r="632" spans="17:17" x14ac:dyDescent="0.25">
      <c r="Q632" s="37"/>
    </row>
    <row r="633" spans="17:17" x14ac:dyDescent="0.25">
      <c r="Q633" s="37"/>
    </row>
    <row r="634" spans="17:17" x14ac:dyDescent="0.25">
      <c r="Q634" s="37"/>
    </row>
    <row r="635" spans="17:17" x14ac:dyDescent="0.25">
      <c r="Q635" s="37"/>
    </row>
    <row r="636" spans="17:17" x14ac:dyDescent="0.25">
      <c r="Q636" s="37"/>
    </row>
    <row r="637" spans="17:17" x14ac:dyDescent="0.25">
      <c r="Q637" s="37"/>
    </row>
    <row r="638" spans="17:17" x14ac:dyDescent="0.25">
      <c r="Q638" s="37"/>
    </row>
    <row r="639" spans="17:17" x14ac:dyDescent="0.25">
      <c r="Q639" s="37"/>
    </row>
    <row r="640" spans="17:17" x14ac:dyDescent="0.25">
      <c r="Q640" s="37"/>
    </row>
    <row r="641" spans="17:17" x14ac:dyDescent="0.25">
      <c r="Q641" s="37"/>
    </row>
    <row r="642" spans="17:17" x14ac:dyDescent="0.25">
      <c r="Q642" s="37"/>
    </row>
    <row r="643" spans="17:17" x14ac:dyDescent="0.25">
      <c r="Q643" s="37"/>
    </row>
    <row r="644" spans="17:17" x14ac:dyDescent="0.25">
      <c r="Q644" s="37"/>
    </row>
    <row r="645" spans="17:17" x14ac:dyDescent="0.25">
      <c r="Q645" s="37"/>
    </row>
    <row r="646" spans="17:17" x14ac:dyDescent="0.25">
      <c r="Q646" s="37"/>
    </row>
    <row r="647" spans="17:17" x14ac:dyDescent="0.25">
      <c r="Q647" s="37"/>
    </row>
    <row r="648" spans="17:17" x14ac:dyDescent="0.25">
      <c r="Q648" s="37"/>
    </row>
    <row r="649" spans="17:17" x14ac:dyDescent="0.25">
      <c r="Q649" s="37"/>
    </row>
    <row r="650" spans="17:17" x14ac:dyDescent="0.25">
      <c r="Q650" s="37"/>
    </row>
    <row r="651" spans="17:17" x14ac:dyDescent="0.25">
      <c r="Q651" s="37"/>
    </row>
    <row r="652" spans="17:17" x14ac:dyDescent="0.25">
      <c r="Q652" s="37"/>
    </row>
    <row r="653" spans="17:17" x14ac:dyDescent="0.25">
      <c r="Q653" s="37"/>
    </row>
    <row r="654" spans="17:17" x14ac:dyDescent="0.25">
      <c r="Q654" s="37"/>
    </row>
    <row r="655" spans="17:17" x14ac:dyDescent="0.25">
      <c r="Q655" s="37"/>
    </row>
    <row r="656" spans="17:17" x14ac:dyDescent="0.25">
      <c r="Q656" s="37"/>
    </row>
    <row r="657" spans="17:17" x14ac:dyDescent="0.25">
      <c r="Q657" s="37"/>
    </row>
    <row r="658" spans="17:17" x14ac:dyDescent="0.25">
      <c r="Q658" s="37"/>
    </row>
    <row r="659" spans="17:17" x14ac:dyDescent="0.25">
      <c r="Q659" s="37"/>
    </row>
    <row r="660" spans="17:17" x14ac:dyDescent="0.25">
      <c r="Q660" s="37"/>
    </row>
    <row r="661" spans="17:17" x14ac:dyDescent="0.25">
      <c r="Q661" s="37"/>
    </row>
    <row r="662" spans="17:17" x14ac:dyDescent="0.25">
      <c r="Q662" s="37"/>
    </row>
    <row r="663" spans="17:17" x14ac:dyDescent="0.25">
      <c r="Q663" s="37"/>
    </row>
    <row r="664" spans="17:17" x14ac:dyDescent="0.25">
      <c r="Q664" s="37"/>
    </row>
    <row r="665" spans="17:17" x14ac:dyDescent="0.25">
      <c r="Q665" s="37"/>
    </row>
    <row r="666" spans="17:17" x14ac:dyDescent="0.25">
      <c r="Q666" s="37"/>
    </row>
    <row r="667" spans="17:17" x14ac:dyDescent="0.25">
      <c r="Q667" s="37"/>
    </row>
    <row r="668" spans="17:17" x14ac:dyDescent="0.25">
      <c r="Q668" s="37"/>
    </row>
    <row r="669" spans="17:17" x14ac:dyDescent="0.25">
      <c r="Q669" s="37"/>
    </row>
    <row r="670" spans="17:17" x14ac:dyDescent="0.25">
      <c r="Q670" s="37"/>
    </row>
    <row r="671" spans="17:17" x14ac:dyDescent="0.25">
      <c r="Q671" s="37"/>
    </row>
    <row r="672" spans="17:17" x14ac:dyDescent="0.25">
      <c r="Q672" s="37"/>
    </row>
    <row r="673" spans="17:17" x14ac:dyDescent="0.25">
      <c r="Q673" s="37"/>
    </row>
    <row r="674" spans="17:17" x14ac:dyDescent="0.25">
      <c r="Q674" s="37"/>
    </row>
    <row r="675" spans="17:17" x14ac:dyDescent="0.25">
      <c r="Q675" s="37"/>
    </row>
    <row r="676" spans="17:17" x14ac:dyDescent="0.25">
      <c r="Q676" s="37"/>
    </row>
    <row r="677" spans="17:17" x14ac:dyDescent="0.25">
      <c r="Q677" s="37"/>
    </row>
    <row r="678" spans="17:17" x14ac:dyDescent="0.25">
      <c r="Q678" s="37"/>
    </row>
    <row r="679" spans="17:17" x14ac:dyDescent="0.25">
      <c r="Q679" s="37"/>
    </row>
    <row r="680" spans="17:17" x14ac:dyDescent="0.25">
      <c r="Q680" s="37"/>
    </row>
    <row r="681" spans="17:17" x14ac:dyDescent="0.25">
      <c r="Q681" s="37"/>
    </row>
    <row r="682" spans="17:17" x14ac:dyDescent="0.25">
      <c r="Q682" s="37"/>
    </row>
    <row r="683" spans="17:17" x14ac:dyDescent="0.25">
      <c r="Q683" s="37"/>
    </row>
    <row r="684" spans="17:17" x14ac:dyDescent="0.25">
      <c r="Q684" s="37"/>
    </row>
    <row r="685" spans="17:17" x14ac:dyDescent="0.25">
      <c r="Q685" s="37"/>
    </row>
    <row r="686" spans="17:17" x14ac:dyDescent="0.25">
      <c r="Q686" s="37"/>
    </row>
    <row r="687" spans="17:17" x14ac:dyDescent="0.25">
      <c r="Q687" s="37"/>
    </row>
    <row r="688" spans="17:17" x14ac:dyDescent="0.25">
      <c r="Q688" s="37"/>
    </row>
    <row r="689" spans="17:17" x14ac:dyDescent="0.25">
      <c r="Q689" s="37"/>
    </row>
    <row r="690" spans="17:17" x14ac:dyDescent="0.25">
      <c r="Q690" s="37"/>
    </row>
    <row r="691" spans="17:17" x14ac:dyDescent="0.25">
      <c r="Q691" s="37"/>
    </row>
    <row r="692" spans="17:17" x14ac:dyDescent="0.25">
      <c r="Q692" s="37"/>
    </row>
    <row r="693" spans="17:17" x14ac:dyDescent="0.25">
      <c r="Q693" s="37"/>
    </row>
    <row r="694" spans="17:17" x14ac:dyDescent="0.25">
      <c r="Q694" s="37"/>
    </row>
    <row r="695" spans="17:17" x14ac:dyDescent="0.25">
      <c r="Q695" s="37"/>
    </row>
    <row r="696" spans="17:17" x14ac:dyDescent="0.25">
      <c r="Q696" s="37"/>
    </row>
    <row r="697" spans="17:17" x14ac:dyDescent="0.25">
      <c r="Q697" s="37"/>
    </row>
    <row r="698" spans="17:17" x14ac:dyDescent="0.25">
      <c r="Q698" s="37"/>
    </row>
    <row r="699" spans="17:17" x14ac:dyDescent="0.25">
      <c r="Q699" s="37"/>
    </row>
    <row r="700" spans="17:17" x14ac:dyDescent="0.25">
      <c r="Q700" s="37"/>
    </row>
    <row r="701" spans="17:17" x14ac:dyDescent="0.25">
      <c r="Q701" s="37"/>
    </row>
    <row r="702" spans="17:17" x14ac:dyDescent="0.25">
      <c r="Q702" s="37"/>
    </row>
    <row r="703" spans="17:17" x14ac:dyDescent="0.25">
      <c r="Q703" s="37"/>
    </row>
    <row r="704" spans="17:17" x14ac:dyDescent="0.25">
      <c r="Q704" s="37"/>
    </row>
    <row r="705" spans="17:17" x14ac:dyDescent="0.25">
      <c r="Q705" s="37"/>
    </row>
    <row r="706" spans="17:17" x14ac:dyDescent="0.25">
      <c r="Q706" s="37"/>
    </row>
    <row r="707" spans="17:17" x14ac:dyDescent="0.25">
      <c r="Q707" s="37"/>
    </row>
    <row r="708" spans="17:17" x14ac:dyDescent="0.25">
      <c r="Q708" s="37"/>
    </row>
    <row r="709" spans="17:17" x14ac:dyDescent="0.25">
      <c r="Q709" s="37"/>
    </row>
    <row r="710" spans="17:17" x14ac:dyDescent="0.25">
      <c r="Q710" s="37"/>
    </row>
    <row r="711" spans="17:17" x14ac:dyDescent="0.25">
      <c r="Q711" s="37"/>
    </row>
    <row r="712" spans="17:17" x14ac:dyDescent="0.25">
      <c r="Q712" s="37"/>
    </row>
  </sheetData>
  <mergeCells count="2">
    <mergeCell ref="O2:O3"/>
    <mergeCell ref="A1:H1"/>
  </mergeCells>
  <phoneticPr fontId="3" type="noConversion"/>
  <hyperlinks>
    <hyperlink ref="A1:H1" r:id="rId1" display="Please note: Creation of Groups in Zurich.com (GITDIR) and Zurich.UAT will no longer be accepted via this form and should be processed via https://resourceowner.zurich.com &lt;- Click Link" xr:uid="{E7E29B09-D30E-4E97-9150-4C44994F57B9}"/>
  </hyperlinks>
  <pageMargins left="0.75" right="0.75" top="1" bottom="1" header="0.5" footer="0.5"/>
  <pageSetup paperSize="9" orientation="portrait" r:id="rId2"/>
  <headerFooter alignWithMargins="0">
    <oddFooter>&amp;L&amp;1#&amp;"Calibri"&amp;10&amp;K000000INTERNAL USE ONLY</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A948F7FF-0A40-4EAB-8F7E-FFE829265B74}">
          <x14:formula1>
            <xm:f>Dropdowns!$L$2:$L$7</xm:f>
          </x14:formula1>
          <xm:sqref>S4:S158</xm:sqref>
        </x14:dataValidation>
        <x14:dataValidation type="list" allowBlank="1" showInputMessage="1" showErrorMessage="1" xr:uid="{8A0D48B8-0282-4970-AABA-39F9D0983DBA}">
          <x14:formula1>
            <xm:f>Dropdowns!$N$2:$N$19</xm:f>
          </x14:formula1>
          <xm:sqref>P4:P215</xm:sqref>
        </x14:dataValidation>
        <x14:dataValidation type="list" allowBlank="1" showInputMessage="1" showErrorMessage="1" xr:uid="{E5DB9855-4565-4D9D-97D6-B0C63EC4A649}">
          <x14:formula1>
            <xm:f>Dropdowns!$K$2:$K$69</xm:f>
          </x14:formula1>
          <xm:sqref>R4:R333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defaultColWidth="11.453125" defaultRowHeight="12.5" x14ac:dyDescent="0.25"/>
  <cols>
    <col min="1" max="1" width="18.54296875" customWidth="1"/>
    <col min="2" max="2" width="24.54296875" customWidth="1"/>
  </cols>
  <sheetData>
    <row r="1" spans="1:2" ht="25" x14ac:dyDescent="0.25">
      <c r="A1" s="5" t="s">
        <v>17</v>
      </c>
      <c r="B1" s="5" t="s">
        <v>16</v>
      </c>
    </row>
    <row r="2" spans="1:2" x14ac:dyDescent="0.25">
      <c r="A2" s="1" t="s">
        <v>30</v>
      </c>
      <c r="B2" s="1" t="s">
        <v>3</v>
      </c>
    </row>
  </sheetData>
  <phoneticPr fontId="3" type="noConversion"/>
  <pageMargins left="0.7" right="0.7" top="0.75" bottom="0.75" header="0.3" footer="0.3"/>
  <pageSetup paperSize="9" orientation="portrait" r:id="rId1"/>
  <headerFooter>
    <oddFooter>&amp;L&amp;1#&amp;"Calibri"&amp;10&amp;K000000INTERNAL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workbookViewId="0">
      <selection activeCell="C4" sqref="C4"/>
    </sheetView>
  </sheetViews>
  <sheetFormatPr defaultColWidth="11.453125" defaultRowHeight="12.5" x14ac:dyDescent="0.25"/>
  <cols>
    <col min="1" max="1" width="14.6328125" bestFit="1" customWidth="1"/>
    <col min="2" max="2" width="16.54296875" bestFit="1" customWidth="1"/>
    <col min="3" max="3" width="19" customWidth="1"/>
  </cols>
  <sheetData>
    <row r="1" spans="1:3" ht="47.25" customHeight="1" x14ac:dyDescent="0.25">
      <c r="A1" s="98" t="s">
        <v>198</v>
      </c>
      <c r="B1" s="99"/>
      <c r="C1" s="99"/>
    </row>
    <row r="2" spans="1:3" ht="12.75" customHeight="1" x14ac:dyDescent="0.25">
      <c r="A2" s="5" t="s">
        <v>17</v>
      </c>
      <c r="B2" s="5" t="s">
        <v>16</v>
      </c>
      <c r="C2" s="5" t="s">
        <v>49</v>
      </c>
    </row>
    <row r="3" spans="1:3" x14ac:dyDescent="0.25">
      <c r="A3" s="1" t="s">
        <v>30</v>
      </c>
      <c r="B3" s="1" t="s">
        <v>3</v>
      </c>
      <c r="C3" s="1" t="s">
        <v>48</v>
      </c>
    </row>
  </sheetData>
  <mergeCells count="1">
    <mergeCell ref="A1:C1"/>
  </mergeCells>
  <phoneticPr fontId="3" type="noConversion"/>
  <pageMargins left="0.7" right="0.7" top="0.75" bottom="0.75" header="0.3" footer="0.3"/>
  <pageSetup paperSize="9" orientation="portrait" r:id="rId1"/>
  <headerFooter>
    <oddFooter>&amp;L&amp;1#&amp;"Calibri"&amp;10&amp;K000000INTERNAL USE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Dropdowns!$A$2:$A$3</xm:f>
          </x14:formula1>
          <xm:sqref>C4:C1691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defaultColWidth="11.453125" defaultRowHeight="12.5" x14ac:dyDescent="0.25"/>
  <cols>
    <col min="1" max="1" width="14.6328125" bestFit="1" customWidth="1"/>
    <col min="2" max="2" width="21.6328125" customWidth="1"/>
  </cols>
  <sheetData>
    <row r="1" spans="1:2" ht="37.5" x14ac:dyDescent="0.25">
      <c r="A1" s="5" t="s">
        <v>17</v>
      </c>
      <c r="B1" s="5" t="s">
        <v>16</v>
      </c>
    </row>
    <row r="2" spans="1:2" x14ac:dyDescent="0.25">
      <c r="A2" s="1" t="s">
        <v>30</v>
      </c>
      <c r="B2" s="1" t="s">
        <v>3</v>
      </c>
    </row>
  </sheetData>
  <phoneticPr fontId="3" type="noConversion"/>
  <pageMargins left="0.7" right="0.7" top="0.75" bottom="0.75" header="0.3" footer="0.3"/>
  <pageSetup paperSize="9" orientation="portrait" r:id="rId1"/>
  <headerFooter>
    <oddFooter>&amp;L&amp;1#&amp;"Calibri"&amp;10&amp;K000000INTERNAL USE ONLY</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8"/>
  <sheetViews>
    <sheetView zoomScaleNormal="100" workbookViewId="0">
      <selection activeCell="A5" sqref="A5:XFD6"/>
    </sheetView>
  </sheetViews>
  <sheetFormatPr defaultRowHeight="12.5" x14ac:dyDescent="0.25"/>
  <cols>
    <col min="1" max="1" width="23.54296875" bestFit="1" customWidth="1"/>
    <col min="2" max="2" width="52.26953125" customWidth="1"/>
    <col min="3" max="3" width="36.453125" bestFit="1" customWidth="1"/>
    <col min="4" max="4" width="16.453125" bestFit="1" customWidth="1"/>
    <col min="5" max="5" width="19.54296875" customWidth="1"/>
    <col min="6" max="6" width="43.453125" bestFit="1" customWidth="1"/>
    <col min="7" max="7" width="45.453125" customWidth="1"/>
    <col min="8" max="8" width="54.453125" customWidth="1"/>
    <col min="9" max="9" width="15.6328125" bestFit="1" customWidth="1"/>
    <col min="10" max="10" width="18.54296875" bestFit="1" customWidth="1"/>
    <col min="11" max="11" width="11.54296875" bestFit="1" customWidth="1"/>
    <col min="12" max="12" width="8.54296875" bestFit="1" customWidth="1"/>
    <col min="13" max="13" width="7.453125" bestFit="1" customWidth="1"/>
    <col min="14" max="14" width="11" bestFit="1" customWidth="1"/>
    <col min="15" max="15" width="10.453125" bestFit="1" customWidth="1"/>
    <col min="17" max="17" width="94.54296875" bestFit="1" customWidth="1"/>
    <col min="18" max="18" width="105" bestFit="1" customWidth="1"/>
    <col min="19" max="21" width="15.54296875" bestFit="1" customWidth="1"/>
  </cols>
  <sheetData>
    <row r="1" spans="1:8" s="31" customFormat="1" ht="64.5" customHeight="1" x14ac:dyDescent="0.25">
      <c r="A1" s="93" t="s">
        <v>105</v>
      </c>
      <c r="B1" s="94"/>
      <c r="C1" s="94"/>
      <c r="D1" s="94"/>
      <c r="E1" s="94"/>
      <c r="F1" s="94"/>
      <c r="G1" s="94"/>
      <c r="H1" s="32"/>
    </row>
    <row r="2" spans="1:8" ht="33" customHeight="1" x14ac:dyDescent="0.25">
      <c r="A2" s="28" t="s">
        <v>17</v>
      </c>
      <c r="B2" s="29" t="s">
        <v>91</v>
      </c>
      <c r="C2" s="29" t="s">
        <v>98</v>
      </c>
      <c r="D2" s="29" t="s">
        <v>84</v>
      </c>
      <c r="E2" s="29" t="s">
        <v>85</v>
      </c>
      <c r="F2" s="29" t="s">
        <v>97</v>
      </c>
      <c r="G2" s="29" t="s">
        <v>96</v>
      </c>
      <c r="H2" s="30" t="s">
        <v>90</v>
      </c>
    </row>
    <row r="3" spans="1:8" ht="18" customHeight="1" x14ac:dyDescent="0.25">
      <c r="A3" s="1" t="s">
        <v>30</v>
      </c>
      <c r="B3" s="1" t="s">
        <v>3</v>
      </c>
      <c r="C3" s="27" t="s">
        <v>92</v>
      </c>
      <c r="D3" s="27" t="s">
        <v>89</v>
      </c>
      <c r="E3" s="1" t="s">
        <v>88</v>
      </c>
      <c r="F3" s="1" t="s">
        <v>95</v>
      </c>
      <c r="G3" s="1" t="s">
        <v>94</v>
      </c>
      <c r="H3" s="1" t="s">
        <v>99</v>
      </c>
    </row>
    <row r="4" spans="1:8" x14ac:dyDescent="0.25">
      <c r="A4" s="33" t="s">
        <v>100</v>
      </c>
      <c r="B4" s="33" t="s">
        <v>101</v>
      </c>
      <c r="C4" s="33" t="s">
        <v>102</v>
      </c>
      <c r="D4" s="33" t="s">
        <v>86</v>
      </c>
      <c r="E4" s="33" t="s">
        <v>87</v>
      </c>
      <c r="F4" s="33" t="s">
        <v>93</v>
      </c>
      <c r="G4" s="33" t="s">
        <v>93</v>
      </c>
    </row>
    <row r="5" spans="1:8" x14ac:dyDescent="0.25">
      <c r="D5" s="33"/>
      <c r="E5" s="33"/>
    </row>
    <row r="6" spans="1:8" x14ac:dyDescent="0.25">
      <c r="D6" s="33"/>
      <c r="E6" s="33"/>
    </row>
    <row r="7" spans="1:8" x14ac:dyDescent="0.25">
      <c r="D7" s="33"/>
      <c r="E7" s="33"/>
    </row>
    <row r="8" spans="1:8" x14ac:dyDescent="0.25">
      <c r="D8" s="33"/>
      <c r="E8" s="33"/>
    </row>
    <row r="9" spans="1:8" x14ac:dyDescent="0.25">
      <c r="D9" s="33"/>
      <c r="E9" s="33"/>
    </row>
    <row r="10" spans="1:8" x14ac:dyDescent="0.25">
      <c r="D10" s="33"/>
      <c r="E10" s="33"/>
    </row>
    <row r="11" spans="1:8" x14ac:dyDescent="0.25">
      <c r="D11" s="33"/>
      <c r="E11" s="33"/>
    </row>
    <row r="12" spans="1:8" x14ac:dyDescent="0.25">
      <c r="D12" s="33"/>
      <c r="E12" s="33"/>
    </row>
    <row r="13" spans="1:8" x14ac:dyDescent="0.25">
      <c r="B13" s="31"/>
      <c r="D13" s="33"/>
      <c r="E13" s="33"/>
    </row>
    <row r="14" spans="1:8" x14ac:dyDescent="0.25">
      <c r="D14" s="33"/>
      <c r="E14" s="33"/>
    </row>
    <row r="15" spans="1:8" x14ac:dyDescent="0.25">
      <c r="D15" s="33"/>
      <c r="E15" s="33"/>
    </row>
    <row r="16" spans="1:8" x14ac:dyDescent="0.25">
      <c r="D16" s="33"/>
      <c r="E16" s="33"/>
    </row>
    <row r="17" spans="4:5" x14ac:dyDescent="0.25">
      <c r="D17" s="33"/>
      <c r="E17" s="33"/>
    </row>
    <row r="18" spans="4:5" x14ac:dyDescent="0.25">
      <c r="D18" s="33"/>
      <c r="E18" s="33"/>
    </row>
    <row r="19" spans="4:5" x14ac:dyDescent="0.25">
      <c r="D19" s="33"/>
      <c r="E19" s="33"/>
    </row>
    <row r="20" spans="4:5" x14ac:dyDescent="0.25">
      <c r="D20" s="33"/>
      <c r="E20" s="33"/>
    </row>
    <row r="21" spans="4:5" x14ac:dyDescent="0.25">
      <c r="D21" s="33"/>
      <c r="E21" s="33"/>
    </row>
    <row r="22" spans="4:5" x14ac:dyDescent="0.25">
      <c r="D22" s="33"/>
      <c r="E22" s="33"/>
    </row>
    <row r="23" spans="4:5" x14ac:dyDescent="0.25">
      <c r="D23" s="33"/>
      <c r="E23" s="33"/>
    </row>
    <row r="24" spans="4:5" x14ac:dyDescent="0.25">
      <c r="D24" s="33"/>
      <c r="E24" s="33"/>
    </row>
    <row r="25" spans="4:5" x14ac:dyDescent="0.25">
      <c r="D25" s="33"/>
      <c r="E25" s="33"/>
    </row>
    <row r="26" spans="4:5" x14ac:dyDescent="0.25">
      <c r="D26" s="33"/>
      <c r="E26" s="33"/>
    </row>
    <row r="27" spans="4:5" x14ac:dyDescent="0.25">
      <c r="D27" s="33"/>
      <c r="E27" s="33"/>
    </row>
    <row r="28" spans="4:5" x14ac:dyDescent="0.25">
      <c r="D28" s="33"/>
      <c r="E28" s="33"/>
    </row>
    <row r="29" spans="4:5" x14ac:dyDescent="0.25">
      <c r="D29" s="33"/>
      <c r="E29" s="33"/>
    </row>
    <row r="30" spans="4:5" x14ac:dyDescent="0.25">
      <c r="D30" s="33"/>
      <c r="E30" s="33"/>
    </row>
    <row r="31" spans="4:5" x14ac:dyDescent="0.25">
      <c r="D31" s="33"/>
      <c r="E31" s="33"/>
    </row>
    <row r="32" spans="4:5" x14ac:dyDescent="0.25">
      <c r="D32" s="33"/>
      <c r="E32" s="33"/>
    </row>
    <row r="33" spans="4:5" x14ac:dyDescent="0.25">
      <c r="D33" s="33"/>
      <c r="E33" s="33"/>
    </row>
    <row r="34" spans="4:5" x14ac:dyDescent="0.25">
      <c r="D34" s="33"/>
      <c r="E34" s="33"/>
    </row>
    <row r="35" spans="4:5" x14ac:dyDescent="0.25">
      <c r="D35" s="33"/>
      <c r="E35" s="33"/>
    </row>
    <row r="36" spans="4:5" x14ac:dyDescent="0.25">
      <c r="D36" s="33"/>
      <c r="E36" s="33"/>
    </row>
    <row r="37" spans="4:5" x14ac:dyDescent="0.25">
      <c r="D37" s="33"/>
      <c r="E37" s="33"/>
    </row>
    <row r="38" spans="4:5" x14ac:dyDescent="0.25">
      <c r="D38" s="33"/>
      <c r="E38" s="33"/>
    </row>
    <row r="39" spans="4:5" x14ac:dyDescent="0.25">
      <c r="D39" s="33"/>
      <c r="E39" s="33"/>
    </row>
    <row r="40" spans="4:5" x14ac:dyDescent="0.25">
      <c r="D40" s="33"/>
      <c r="E40" s="33"/>
    </row>
    <row r="41" spans="4:5" x14ac:dyDescent="0.25">
      <c r="D41" s="33"/>
      <c r="E41" s="33"/>
    </row>
    <row r="42" spans="4:5" x14ac:dyDescent="0.25">
      <c r="D42" s="33"/>
      <c r="E42" s="33"/>
    </row>
    <row r="43" spans="4:5" x14ac:dyDescent="0.25">
      <c r="D43" s="33"/>
      <c r="E43" s="33"/>
    </row>
    <row r="44" spans="4:5" x14ac:dyDescent="0.25">
      <c r="E44" s="33"/>
    </row>
    <row r="45" spans="4:5" x14ac:dyDescent="0.25">
      <c r="E45" s="33"/>
    </row>
    <row r="46" spans="4:5" x14ac:dyDescent="0.25">
      <c r="E46" s="33"/>
    </row>
    <row r="47" spans="4:5" x14ac:dyDescent="0.25">
      <c r="E47" s="33"/>
    </row>
    <row r="48" spans="4:5" x14ac:dyDescent="0.25">
      <c r="E48" s="33"/>
    </row>
  </sheetData>
  <dataConsolidate/>
  <mergeCells count="1">
    <mergeCell ref="A1:G1"/>
  </mergeCells>
  <dataValidations count="3">
    <dataValidation type="list" allowBlank="1" showInputMessage="1" showErrorMessage="1" sqref="F4:G43" xr:uid="{00000000-0002-0000-0800-000000000000}">
      <formula1>"Yes, No"</formula1>
    </dataValidation>
    <dataValidation type="list" allowBlank="1" showInputMessage="1" showErrorMessage="1" sqref="D4:D43" xr:uid="{00000000-0002-0000-0800-000001000000}">
      <formula1>"Add,Modify,Remove"</formula1>
    </dataValidation>
    <dataValidation type="list" allowBlank="1" showInputMessage="1" showErrorMessage="1" sqref="E4:E48" xr:uid="{00000000-0002-0000-0800-000002000000}">
      <formula1>"Read,Modify,Read/Write,Read/Write/Modify"</formula1>
    </dataValidation>
  </dataValidations>
  <hyperlinks>
    <hyperlink ref="C3" r:id="rId1" xr:uid="{00000000-0004-0000-0800-000000000000}"/>
    <hyperlink ref="C4" r:id="rId2" xr:uid="{00000000-0004-0000-0800-000001000000}"/>
  </hyperlinks>
  <pageMargins left="0.7" right="0.7" top="0.75" bottom="0.75" header="0.3" footer="0.3"/>
  <pageSetup paperSize="9" orientation="portrait" r:id="rId3"/>
  <headerFooter>
    <oddFooter>&amp;L&amp;1#&amp;"Calibri"&amp;10&amp;K000000INTERNAL USE ONLY</oddFooter>
  </headerFooter>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
  <sheetViews>
    <sheetView workbookViewId="0">
      <selection activeCell="D14" sqref="D14"/>
    </sheetView>
  </sheetViews>
  <sheetFormatPr defaultRowHeight="12.5" x14ac:dyDescent="0.25"/>
  <cols>
    <col min="1" max="1" width="12.54296875" customWidth="1"/>
    <col min="2" max="3" width="23.54296875" bestFit="1" customWidth="1"/>
    <col min="4" max="4" width="53.54296875" bestFit="1" customWidth="1"/>
  </cols>
  <sheetData>
    <row r="1" spans="1:4" x14ac:dyDescent="0.25">
      <c r="A1" s="36" t="s">
        <v>107</v>
      </c>
      <c r="B1" s="35" t="s">
        <v>113</v>
      </c>
      <c r="C1" s="7" t="s">
        <v>111</v>
      </c>
      <c r="D1" s="34" t="s">
        <v>112</v>
      </c>
    </row>
    <row r="2" spans="1:4" x14ac:dyDescent="0.25">
      <c r="A2" s="33" t="s">
        <v>108</v>
      </c>
      <c r="B2" s="33" t="s">
        <v>100</v>
      </c>
      <c r="C2" s="33" t="s">
        <v>109</v>
      </c>
      <c r="D2" s="33" t="s">
        <v>110</v>
      </c>
    </row>
  </sheetData>
  <pageMargins left="0.7" right="0.7" top="0.75" bottom="0.75" header="0.3" footer="0.3"/>
  <pageSetup paperSize="9" orientation="portrait" r:id="rId1"/>
  <headerFooter>
    <oddFooter>&amp;L&amp;1#&amp;"Calibri"&amp;10&amp;K000000INTERNAL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
  <sheetViews>
    <sheetView workbookViewId="0">
      <selection activeCell="B16" sqref="A15:B16"/>
    </sheetView>
  </sheetViews>
  <sheetFormatPr defaultRowHeight="12.5" x14ac:dyDescent="0.25"/>
  <cols>
    <col min="1" max="1" width="18.54296875" bestFit="1" customWidth="1"/>
    <col min="2" max="2" width="21.54296875" customWidth="1"/>
    <col min="3" max="3" width="22.54296875" bestFit="1" customWidth="1"/>
    <col min="4" max="4" width="16.6328125" bestFit="1" customWidth="1"/>
    <col min="5" max="5" width="59" customWidth="1"/>
    <col min="6" max="6" width="37.54296875" customWidth="1"/>
    <col min="7" max="7" width="13" customWidth="1"/>
  </cols>
  <sheetData>
    <row r="1" spans="1:7" ht="38.25" customHeight="1" x14ac:dyDescent="0.25">
      <c r="A1" s="98" t="s">
        <v>208</v>
      </c>
      <c r="B1" s="99"/>
      <c r="C1" s="99"/>
      <c r="D1" s="99"/>
      <c r="E1" s="99"/>
      <c r="F1" s="99"/>
      <c r="G1" s="99"/>
    </row>
    <row r="2" spans="1:7" ht="63" x14ac:dyDescent="0.25">
      <c r="A2" s="5" t="s">
        <v>17</v>
      </c>
      <c r="B2" s="7" t="s">
        <v>215</v>
      </c>
      <c r="C2" s="41" t="s">
        <v>216</v>
      </c>
      <c r="D2" s="24" t="s">
        <v>23</v>
      </c>
      <c r="E2" s="24" t="s">
        <v>2</v>
      </c>
      <c r="F2" s="41" t="s">
        <v>197</v>
      </c>
      <c r="G2" s="41" t="s">
        <v>213</v>
      </c>
    </row>
    <row r="3" spans="1:7" x14ac:dyDescent="0.25">
      <c r="A3" s="1" t="s">
        <v>30</v>
      </c>
      <c r="B3" s="1" t="s">
        <v>3</v>
      </c>
      <c r="C3" s="1" t="s">
        <v>3</v>
      </c>
      <c r="D3" s="1" t="s">
        <v>106</v>
      </c>
      <c r="E3" s="1" t="s">
        <v>15</v>
      </c>
      <c r="F3" s="1" t="s">
        <v>83</v>
      </c>
      <c r="G3" s="1" t="s">
        <v>114</v>
      </c>
    </row>
    <row r="4" spans="1:7" x14ac:dyDescent="0.25">
      <c r="A4" s="37"/>
      <c r="B4" s="37"/>
      <c r="C4" s="38"/>
      <c r="D4" s="37"/>
      <c r="E4" s="37"/>
    </row>
  </sheetData>
  <dataConsolidate/>
  <mergeCells count="1">
    <mergeCell ref="A1:G1"/>
  </mergeCells>
  <pageMargins left="0.7" right="0.7" top="0.75" bottom="0.75" header="0.3" footer="0.3"/>
  <pageSetup paperSize="9" orientation="portrait" r:id="rId1"/>
  <headerFooter>
    <oddFooter>&amp;L&amp;1#&amp;"Calibri"&amp;10&amp;K000000INTERNAL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
  <sheetViews>
    <sheetView workbookViewId="0">
      <selection activeCell="B1" sqref="B1"/>
    </sheetView>
  </sheetViews>
  <sheetFormatPr defaultRowHeight="12.5" x14ac:dyDescent="0.25"/>
  <cols>
    <col min="1" max="1" width="23.54296875" bestFit="1" customWidth="1"/>
    <col min="2" max="2" width="32.453125" bestFit="1" customWidth="1"/>
    <col min="3" max="3" width="34.6328125" bestFit="1" customWidth="1"/>
  </cols>
  <sheetData>
    <row r="1" spans="1:3" ht="30" customHeight="1" x14ac:dyDescent="0.25">
      <c r="A1" s="4" t="s">
        <v>17</v>
      </c>
      <c r="B1" s="46" t="s">
        <v>222</v>
      </c>
      <c r="C1" s="7" t="s">
        <v>221</v>
      </c>
    </row>
    <row r="2" spans="1:3" x14ac:dyDescent="0.25">
      <c r="A2" s="1" t="s">
        <v>30</v>
      </c>
      <c r="B2" s="1" t="s">
        <v>3</v>
      </c>
      <c r="C2" s="1" t="s">
        <v>3</v>
      </c>
    </row>
  </sheetData>
  <pageMargins left="0.7" right="0.7" top="0.75" bottom="0.75" header="0.3" footer="0.3"/>
  <pageSetup paperSize="9" orientation="portrait" r:id="rId1"/>
  <headerFooter>
    <oddFooter>&amp;L&amp;1#&amp;"Calibri"&amp;10&amp;K000000INTERNAL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
  <sheetViews>
    <sheetView workbookViewId="0">
      <selection activeCell="C14" sqref="C14"/>
    </sheetView>
  </sheetViews>
  <sheetFormatPr defaultRowHeight="12.5" x14ac:dyDescent="0.25"/>
  <cols>
    <col min="1" max="1" width="21.54296875" customWidth="1"/>
    <col min="2" max="3" width="28.453125" customWidth="1"/>
  </cols>
  <sheetData>
    <row r="1" spans="1:3" ht="43.5" customHeight="1" x14ac:dyDescent="0.25">
      <c r="A1" s="98" t="s">
        <v>212</v>
      </c>
      <c r="B1" s="99"/>
      <c r="C1" s="99"/>
    </row>
    <row r="2" spans="1:3" ht="25" x14ac:dyDescent="0.25">
      <c r="A2" s="35" t="s">
        <v>209</v>
      </c>
      <c r="B2" s="7" t="s">
        <v>211</v>
      </c>
      <c r="C2" s="24" t="s">
        <v>210</v>
      </c>
    </row>
    <row r="3" spans="1:3" x14ac:dyDescent="0.25">
      <c r="A3" s="1" t="s">
        <v>30</v>
      </c>
      <c r="B3" s="1" t="s">
        <v>3</v>
      </c>
      <c r="C3" s="1" t="s">
        <v>3</v>
      </c>
    </row>
    <row r="4" spans="1:3" x14ac:dyDescent="0.25">
      <c r="A4" s="37"/>
      <c r="B4" s="37"/>
      <c r="C4" s="38"/>
    </row>
  </sheetData>
  <dataConsolidate/>
  <mergeCells count="1">
    <mergeCell ref="A1:C1"/>
  </mergeCells>
  <pageMargins left="0.7" right="0.7" top="0.75" bottom="0.75" header="0.3" footer="0.3"/>
  <pageSetup paperSize="9" orientation="portrait" r:id="rId1"/>
  <headerFooter>
    <oddFooter>&amp;L&amp;1#&amp;"Calibri"&amp;10&amp;K000000INTERNAL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394"/>
  <sheetViews>
    <sheetView workbookViewId="0">
      <selection sqref="A1:C1"/>
    </sheetView>
  </sheetViews>
  <sheetFormatPr defaultRowHeight="12.5" x14ac:dyDescent="0.25"/>
  <cols>
    <col min="1" max="1" width="14.6328125" customWidth="1"/>
    <col min="2" max="2" width="33.453125" customWidth="1"/>
    <col min="3" max="3" width="26.453125" customWidth="1"/>
  </cols>
  <sheetData>
    <row r="1" spans="1:4" ht="57" customHeight="1" x14ac:dyDescent="0.25">
      <c r="A1" s="98" t="s">
        <v>254</v>
      </c>
      <c r="B1" s="99"/>
      <c r="C1" s="99"/>
    </row>
    <row r="2" spans="1:4" ht="37.5" x14ac:dyDescent="0.25">
      <c r="A2" s="5" t="s">
        <v>17</v>
      </c>
      <c r="B2" s="5" t="s">
        <v>16</v>
      </c>
      <c r="C2" s="35" t="s">
        <v>207</v>
      </c>
    </row>
    <row r="3" spans="1:4" x14ac:dyDescent="0.25">
      <c r="A3" s="1" t="s">
        <v>30</v>
      </c>
      <c r="B3" s="1" t="s">
        <v>3</v>
      </c>
      <c r="C3" s="1" t="s">
        <v>114</v>
      </c>
    </row>
    <row r="4" spans="1:4" x14ac:dyDescent="0.25">
      <c r="C4" s="37"/>
      <c r="D4" s="37" t="s">
        <v>103</v>
      </c>
    </row>
    <row r="5" spans="1:4" x14ac:dyDescent="0.25">
      <c r="C5" s="37"/>
    </row>
    <row r="6" spans="1:4" x14ac:dyDescent="0.25">
      <c r="C6" s="37"/>
    </row>
    <row r="7" spans="1:4" x14ac:dyDescent="0.25">
      <c r="C7" s="37"/>
    </row>
    <row r="8" spans="1:4" x14ac:dyDescent="0.25">
      <c r="C8" s="37"/>
    </row>
    <row r="9" spans="1:4" x14ac:dyDescent="0.25">
      <c r="C9" s="37"/>
    </row>
    <row r="10" spans="1:4" x14ac:dyDescent="0.25">
      <c r="C10" s="37"/>
    </row>
    <row r="11" spans="1:4" x14ac:dyDescent="0.25">
      <c r="C11" s="37"/>
    </row>
    <row r="12" spans="1:4" x14ac:dyDescent="0.25">
      <c r="C12" s="37"/>
    </row>
    <row r="13" spans="1:4" x14ac:dyDescent="0.25">
      <c r="C13" s="37"/>
    </row>
    <row r="14" spans="1:4" x14ac:dyDescent="0.25">
      <c r="C14" s="37"/>
    </row>
    <row r="15" spans="1:4" x14ac:dyDescent="0.25">
      <c r="C15" s="37"/>
    </row>
    <row r="16" spans="1:4" x14ac:dyDescent="0.25">
      <c r="C16" s="37"/>
    </row>
    <row r="17" spans="3:3" x14ac:dyDescent="0.25">
      <c r="C17" s="37"/>
    </row>
    <row r="18" spans="3:3" x14ac:dyDescent="0.25">
      <c r="C18" s="37"/>
    </row>
    <row r="19" spans="3:3" x14ac:dyDescent="0.25">
      <c r="C19" s="37"/>
    </row>
    <row r="20" spans="3:3" x14ac:dyDescent="0.25">
      <c r="C20" s="37"/>
    </row>
    <row r="21" spans="3:3" x14ac:dyDescent="0.25">
      <c r="C21" s="37"/>
    </row>
    <row r="22" spans="3:3" x14ac:dyDescent="0.25">
      <c r="C22" s="37"/>
    </row>
    <row r="23" spans="3:3" x14ac:dyDescent="0.25">
      <c r="C23" s="37"/>
    </row>
    <row r="24" spans="3:3" x14ac:dyDescent="0.25">
      <c r="C24" s="37"/>
    </row>
    <row r="25" spans="3:3" x14ac:dyDescent="0.25">
      <c r="C25" s="37"/>
    </row>
    <row r="26" spans="3:3" x14ac:dyDescent="0.25">
      <c r="C26" s="37"/>
    </row>
    <row r="27" spans="3:3" x14ac:dyDescent="0.25">
      <c r="C27" s="37"/>
    </row>
    <row r="28" spans="3:3" x14ac:dyDescent="0.25">
      <c r="C28" s="37"/>
    </row>
    <row r="29" spans="3:3" x14ac:dyDescent="0.25">
      <c r="C29" s="37"/>
    </row>
    <row r="30" spans="3:3" x14ac:dyDescent="0.25">
      <c r="C30" s="37"/>
    </row>
    <row r="31" spans="3:3" x14ac:dyDescent="0.25">
      <c r="C31" s="37"/>
    </row>
    <row r="32" spans="3:3" x14ac:dyDescent="0.25">
      <c r="C32" s="37"/>
    </row>
    <row r="33" spans="3:3" x14ac:dyDescent="0.25">
      <c r="C33" s="37"/>
    </row>
    <row r="34" spans="3:3" x14ac:dyDescent="0.25">
      <c r="C34" s="37"/>
    </row>
    <row r="35" spans="3:3" x14ac:dyDescent="0.25">
      <c r="C35" s="37"/>
    </row>
    <row r="36" spans="3:3" x14ac:dyDescent="0.25">
      <c r="C36" s="37"/>
    </row>
    <row r="37" spans="3:3" x14ac:dyDescent="0.25">
      <c r="C37" s="37"/>
    </row>
    <row r="38" spans="3:3" x14ac:dyDescent="0.25">
      <c r="C38" s="37"/>
    </row>
    <row r="39" spans="3:3" x14ac:dyDescent="0.25">
      <c r="C39" s="37"/>
    </row>
    <row r="40" spans="3:3" x14ac:dyDescent="0.25">
      <c r="C40" s="37"/>
    </row>
    <row r="41" spans="3:3" x14ac:dyDescent="0.25">
      <c r="C41" s="37"/>
    </row>
    <row r="42" spans="3:3" x14ac:dyDescent="0.25">
      <c r="C42" s="37"/>
    </row>
    <row r="43" spans="3:3" x14ac:dyDescent="0.25">
      <c r="C43" s="37"/>
    </row>
    <row r="44" spans="3:3" x14ac:dyDescent="0.25">
      <c r="C44" s="37"/>
    </row>
    <row r="45" spans="3:3" x14ac:dyDescent="0.25">
      <c r="C45" s="37"/>
    </row>
    <row r="46" spans="3:3" x14ac:dyDescent="0.25">
      <c r="C46" s="37"/>
    </row>
    <row r="47" spans="3:3" x14ac:dyDescent="0.25">
      <c r="C47" s="37"/>
    </row>
    <row r="48" spans="3:3" x14ac:dyDescent="0.25">
      <c r="C48" s="37"/>
    </row>
    <row r="49" spans="3:3" x14ac:dyDescent="0.25">
      <c r="C49" s="37"/>
    </row>
    <row r="50" spans="3:3" x14ac:dyDescent="0.25">
      <c r="C50" s="37"/>
    </row>
    <row r="51" spans="3:3" x14ac:dyDescent="0.25">
      <c r="C51" s="37"/>
    </row>
    <row r="52" spans="3:3" x14ac:dyDescent="0.25">
      <c r="C52" s="37"/>
    </row>
    <row r="53" spans="3:3" x14ac:dyDescent="0.25">
      <c r="C53" s="37"/>
    </row>
    <row r="54" spans="3:3" x14ac:dyDescent="0.25">
      <c r="C54" s="37"/>
    </row>
    <row r="55" spans="3:3" x14ac:dyDescent="0.25">
      <c r="C55" s="37"/>
    </row>
    <row r="56" spans="3:3" x14ac:dyDescent="0.25">
      <c r="C56" s="37"/>
    </row>
    <row r="57" spans="3:3" x14ac:dyDescent="0.25">
      <c r="C57" s="37"/>
    </row>
    <row r="58" spans="3:3" x14ac:dyDescent="0.25">
      <c r="C58" s="37"/>
    </row>
    <row r="59" spans="3:3" x14ac:dyDescent="0.25">
      <c r="C59" s="37"/>
    </row>
    <row r="60" spans="3:3" x14ac:dyDescent="0.25">
      <c r="C60" s="37"/>
    </row>
    <row r="61" spans="3:3" x14ac:dyDescent="0.25">
      <c r="C61" s="37"/>
    </row>
    <row r="62" spans="3:3" x14ac:dyDescent="0.25">
      <c r="C62" s="37"/>
    </row>
    <row r="63" spans="3:3" x14ac:dyDescent="0.25">
      <c r="C63" s="37"/>
    </row>
    <row r="64" spans="3:3" x14ac:dyDescent="0.25">
      <c r="C64" s="37"/>
    </row>
    <row r="65" spans="3:3" x14ac:dyDescent="0.25">
      <c r="C65" s="37"/>
    </row>
    <row r="66" spans="3:3" x14ac:dyDescent="0.25">
      <c r="C66" s="37"/>
    </row>
    <row r="67" spans="3:3" x14ac:dyDescent="0.25">
      <c r="C67" s="37"/>
    </row>
    <row r="68" spans="3:3" x14ac:dyDescent="0.25">
      <c r="C68" s="37"/>
    </row>
    <row r="69" spans="3:3" x14ac:dyDescent="0.25">
      <c r="C69" s="37"/>
    </row>
    <row r="70" spans="3:3" x14ac:dyDescent="0.25">
      <c r="C70" s="37"/>
    </row>
    <row r="71" spans="3:3" x14ac:dyDescent="0.25">
      <c r="C71" s="37"/>
    </row>
    <row r="72" spans="3:3" x14ac:dyDescent="0.25">
      <c r="C72" s="37"/>
    </row>
    <row r="73" spans="3:3" x14ac:dyDescent="0.25">
      <c r="C73" s="37"/>
    </row>
    <row r="74" spans="3:3" x14ac:dyDescent="0.25">
      <c r="C74" s="37"/>
    </row>
    <row r="75" spans="3:3" x14ac:dyDescent="0.25">
      <c r="C75" s="37"/>
    </row>
    <row r="76" spans="3:3" x14ac:dyDescent="0.25">
      <c r="C76" s="37"/>
    </row>
    <row r="77" spans="3:3" x14ac:dyDescent="0.25">
      <c r="C77" s="37"/>
    </row>
    <row r="78" spans="3:3" x14ac:dyDescent="0.25">
      <c r="C78" s="37"/>
    </row>
    <row r="79" spans="3:3" x14ac:dyDescent="0.25">
      <c r="C79" s="37"/>
    </row>
    <row r="80" spans="3:3" x14ac:dyDescent="0.25">
      <c r="C80" s="37"/>
    </row>
    <row r="81" spans="3:3" x14ac:dyDescent="0.25">
      <c r="C81" s="37"/>
    </row>
    <row r="82" spans="3:3" x14ac:dyDescent="0.25">
      <c r="C82" s="37"/>
    </row>
    <row r="83" spans="3:3" x14ac:dyDescent="0.25">
      <c r="C83" s="37"/>
    </row>
    <row r="84" spans="3:3" x14ac:dyDescent="0.25">
      <c r="C84" s="37"/>
    </row>
    <row r="85" spans="3:3" x14ac:dyDescent="0.25">
      <c r="C85" s="37"/>
    </row>
    <row r="86" spans="3:3" x14ac:dyDescent="0.25">
      <c r="C86" s="37"/>
    </row>
    <row r="87" spans="3:3" x14ac:dyDescent="0.25">
      <c r="C87" s="37"/>
    </row>
    <row r="88" spans="3:3" x14ac:dyDescent="0.25">
      <c r="C88" s="37"/>
    </row>
    <row r="89" spans="3:3" x14ac:dyDescent="0.25">
      <c r="C89" s="37"/>
    </row>
    <row r="90" spans="3:3" x14ac:dyDescent="0.25">
      <c r="C90" s="37"/>
    </row>
    <row r="91" spans="3:3" x14ac:dyDescent="0.25">
      <c r="C91" s="37"/>
    </row>
    <row r="92" spans="3:3" x14ac:dyDescent="0.25">
      <c r="C92" s="37"/>
    </row>
    <row r="93" spans="3:3" x14ac:dyDescent="0.25">
      <c r="C93" s="37"/>
    </row>
    <row r="94" spans="3:3" x14ac:dyDescent="0.25">
      <c r="C94" s="37"/>
    </row>
    <row r="95" spans="3:3" x14ac:dyDescent="0.25">
      <c r="C95" s="37"/>
    </row>
    <row r="96" spans="3:3" x14ac:dyDescent="0.25">
      <c r="C96" s="37"/>
    </row>
    <row r="97" spans="3:3" x14ac:dyDescent="0.25">
      <c r="C97" s="37"/>
    </row>
    <row r="98" spans="3:3" x14ac:dyDescent="0.25">
      <c r="C98" s="37"/>
    </row>
    <row r="99" spans="3:3" x14ac:dyDescent="0.25">
      <c r="C99" s="37"/>
    </row>
    <row r="100" spans="3:3" x14ac:dyDescent="0.25">
      <c r="C100" s="37"/>
    </row>
    <row r="101" spans="3:3" x14ac:dyDescent="0.25">
      <c r="C101" s="37"/>
    </row>
    <row r="102" spans="3:3" x14ac:dyDescent="0.25">
      <c r="C102" s="37"/>
    </row>
    <row r="103" spans="3:3" x14ac:dyDescent="0.25">
      <c r="C103" s="37"/>
    </row>
    <row r="104" spans="3:3" x14ac:dyDescent="0.25">
      <c r="C104" s="37"/>
    </row>
    <row r="105" spans="3:3" x14ac:dyDescent="0.25">
      <c r="C105" s="37"/>
    </row>
    <row r="106" spans="3:3" x14ac:dyDescent="0.25">
      <c r="C106" s="37"/>
    </row>
    <row r="107" spans="3:3" x14ac:dyDescent="0.25">
      <c r="C107" s="37"/>
    </row>
    <row r="108" spans="3:3" x14ac:dyDescent="0.25">
      <c r="C108" s="37"/>
    </row>
    <row r="109" spans="3:3" x14ac:dyDescent="0.25">
      <c r="C109" s="37"/>
    </row>
    <row r="110" spans="3:3" x14ac:dyDescent="0.25">
      <c r="C110" s="37"/>
    </row>
    <row r="111" spans="3:3" x14ac:dyDescent="0.25">
      <c r="C111" s="37"/>
    </row>
    <row r="112" spans="3:3" x14ac:dyDescent="0.25">
      <c r="C112" s="37"/>
    </row>
    <row r="113" spans="3:3" x14ac:dyDescent="0.25">
      <c r="C113" s="37"/>
    </row>
    <row r="114" spans="3:3" x14ac:dyDescent="0.25">
      <c r="C114" s="37"/>
    </row>
    <row r="115" spans="3:3" x14ac:dyDescent="0.25">
      <c r="C115" s="37"/>
    </row>
    <row r="116" spans="3:3" x14ac:dyDescent="0.25">
      <c r="C116" s="37"/>
    </row>
    <row r="117" spans="3:3" x14ac:dyDescent="0.25">
      <c r="C117" s="37"/>
    </row>
    <row r="118" spans="3:3" x14ac:dyDescent="0.25">
      <c r="C118" s="37"/>
    </row>
    <row r="119" spans="3:3" x14ac:dyDescent="0.25">
      <c r="C119" s="37"/>
    </row>
    <row r="120" spans="3:3" x14ac:dyDescent="0.25">
      <c r="C120" s="37"/>
    </row>
    <row r="121" spans="3:3" x14ac:dyDescent="0.25">
      <c r="C121" s="37"/>
    </row>
    <row r="122" spans="3:3" x14ac:dyDescent="0.25">
      <c r="C122" s="37"/>
    </row>
    <row r="123" spans="3:3" x14ac:dyDescent="0.25">
      <c r="C123" s="37"/>
    </row>
    <row r="124" spans="3:3" x14ac:dyDescent="0.25">
      <c r="C124" s="37"/>
    </row>
    <row r="125" spans="3:3" x14ac:dyDescent="0.25">
      <c r="C125" s="37"/>
    </row>
    <row r="126" spans="3:3" x14ac:dyDescent="0.25">
      <c r="C126" s="37"/>
    </row>
    <row r="127" spans="3:3" x14ac:dyDescent="0.25">
      <c r="C127" s="37"/>
    </row>
    <row r="128" spans="3:3" x14ac:dyDescent="0.25">
      <c r="C128" s="37"/>
    </row>
    <row r="129" spans="3:3" x14ac:dyDescent="0.25">
      <c r="C129" s="37"/>
    </row>
    <row r="130" spans="3:3" x14ac:dyDescent="0.25">
      <c r="C130" s="37"/>
    </row>
    <row r="131" spans="3:3" x14ac:dyDescent="0.25">
      <c r="C131" s="37"/>
    </row>
    <row r="132" spans="3:3" x14ac:dyDescent="0.25">
      <c r="C132" s="37"/>
    </row>
    <row r="133" spans="3:3" x14ac:dyDescent="0.25">
      <c r="C133" s="37"/>
    </row>
    <row r="134" spans="3:3" x14ac:dyDescent="0.25">
      <c r="C134" s="37"/>
    </row>
    <row r="135" spans="3:3" x14ac:dyDescent="0.25">
      <c r="C135" s="37"/>
    </row>
    <row r="136" spans="3:3" x14ac:dyDescent="0.25">
      <c r="C136" s="37"/>
    </row>
    <row r="137" spans="3:3" x14ac:dyDescent="0.25">
      <c r="C137" s="37"/>
    </row>
    <row r="138" spans="3:3" x14ac:dyDescent="0.25">
      <c r="C138" s="37"/>
    </row>
    <row r="139" spans="3:3" x14ac:dyDescent="0.25">
      <c r="C139" s="37"/>
    </row>
    <row r="140" spans="3:3" x14ac:dyDescent="0.25">
      <c r="C140" s="37"/>
    </row>
    <row r="141" spans="3:3" x14ac:dyDescent="0.25">
      <c r="C141" s="37"/>
    </row>
    <row r="142" spans="3:3" x14ac:dyDescent="0.25">
      <c r="C142" s="37"/>
    </row>
    <row r="143" spans="3:3" x14ac:dyDescent="0.25">
      <c r="C143" s="37"/>
    </row>
    <row r="144" spans="3:3" x14ac:dyDescent="0.25">
      <c r="C144" s="37"/>
    </row>
    <row r="145" spans="3:3" x14ac:dyDescent="0.25">
      <c r="C145" s="37"/>
    </row>
    <row r="146" spans="3:3" x14ac:dyDescent="0.25">
      <c r="C146" s="37"/>
    </row>
    <row r="147" spans="3:3" x14ac:dyDescent="0.25">
      <c r="C147" s="37"/>
    </row>
    <row r="148" spans="3:3" x14ac:dyDescent="0.25">
      <c r="C148" s="37"/>
    </row>
    <row r="149" spans="3:3" x14ac:dyDescent="0.25">
      <c r="C149" s="37"/>
    </row>
    <row r="150" spans="3:3" x14ac:dyDescent="0.25">
      <c r="C150" s="37"/>
    </row>
    <row r="151" spans="3:3" x14ac:dyDescent="0.25">
      <c r="C151" s="37"/>
    </row>
    <row r="152" spans="3:3" x14ac:dyDescent="0.25">
      <c r="C152" s="37"/>
    </row>
    <row r="153" spans="3:3" x14ac:dyDescent="0.25">
      <c r="C153" s="37"/>
    </row>
    <row r="154" spans="3:3" x14ac:dyDescent="0.25">
      <c r="C154" s="37"/>
    </row>
    <row r="155" spans="3:3" x14ac:dyDescent="0.25">
      <c r="C155" s="37"/>
    </row>
    <row r="156" spans="3:3" x14ac:dyDescent="0.25">
      <c r="C156" s="37"/>
    </row>
    <row r="157" spans="3:3" x14ac:dyDescent="0.25">
      <c r="C157" s="37"/>
    </row>
    <row r="158" spans="3:3" x14ac:dyDescent="0.25">
      <c r="C158" s="37"/>
    </row>
    <row r="159" spans="3:3" x14ac:dyDescent="0.25">
      <c r="C159" s="37"/>
    </row>
    <row r="160" spans="3:3" x14ac:dyDescent="0.25">
      <c r="C160" s="37"/>
    </row>
    <row r="161" spans="3:3" x14ac:dyDescent="0.25">
      <c r="C161" s="37"/>
    </row>
    <row r="162" spans="3:3" x14ac:dyDescent="0.25">
      <c r="C162" s="37"/>
    </row>
    <row r="163" spans="3:3" x14ac:dyDescent="0.25">
      <c r="C163" s="37"/>
    </row>
    <row r="164" spans="3:3" x14ac:dyDescent="0.25">
      <c r="C164" s="37"/>
    </row>
    <row r="165" spans="3:3" x14ac:dyDescent="0.25">
      <c r="C165" s="37"/>
    </row>
    <row r="166" spans="3:3" x14ac:dyDescent="0.25">
      <c r="C166" s="37"/>
    </row>
    <row r="167" spans="3:3" x14ac:dyDescent="0.25">
      <c r="C167" s="37"/>
    </row>
    <row r="168" spans="3:3" x14ac:dyDescent="0.25">
      <c r="C168" s="37"/>
    </row>
    <row r="169" spans="3:3" x14ac:dyDescent="0.25">
      <c r="C169" s="37"/>
    </row>
    <row r="170" spans="3:3" x14ac:dyDescent="0.25">
      <c r="C170" s="37"/>
    </row>
    <row r="171" spans="3:3" x14ac:dyDescent="0.25">
      <c r="C171" s="37"/>
    </row>
    <row r="172" spans="3:3" x14ac:dyDescent="0.25">
      <c r="C172" s="37"/>
    </row>
    <row r="173" spans="3:3" x14ac:dyDescent="0.25">
      <c r="C173" s="37"/>
    </row>
    <row r="174" spans="3:3" x14ac:dyDescent="0.25">
      <c r="C174" s="37"/>
    </row>
    <row r="175" spans="3:3" x14ac:dyDescent="0.25">
      <c r="C175" s="37"/>
    </row>
    <row r="176" spans="3:3" x14ac:dyDescent="0.25">
      <c r="C176" s="37"/>
    </row>
    <row r="177" spans="3:3" x14ac:dyDescent="0.25">
      <c r="C177" s="37"/>
    </row>
    <row r="178" spans="3:3" x14ac:dyDescent="0.25">
      <c r="C178" s="37"/>
    </row>
    <row r="179" spans="3:3" x14ac:dyDescent="0.25">
      <c r="C179" s="37"/>
    </row>
    <row r="180" spans="3:3" x14ac:dyDescent="0.25">
      <c r="C180" s="37"/>
    </row>
    <row r="181" spans="3:3" x14ac:dyDescent="0.25">
      <c r="C181" s="37"/>
    </row>
    <row r="182" spans="3:3" x14ac:dyDescent="0.25">
      <c r="C182" s="37"/>
    </row>
    <row r="183" spans="3:3" x14ac:dyDescent="0.25">
      <c r="C183" s="37"/>
    </row>
    <row r="184" spans="3:3" x14ac:dyDescent="0.25">
      <c r="C184" s="37"/>
    </row>
    <row r="185" spans="3:3" x14ac:dyDescent="0.25">
      <c r="C185" s="37"/>
    </row>
    <row r="186" spans="3:3" x14ac:dyDescent="0.25">
      <c r="C186" s="37"/>
    </row>
    <row r="187" spans="3:3" x14ac:dyDescent="0.25">
      <c r="C187" s="37"/>
    </row>
    <row r="188" spans="3:3" x14ac:dyDescent="0.25">
      <c r="C188" s="37"/>
    </row>
    <row r="189" spans="3:3" x14ac:dyDescent="0.25">
      <c r="C189" s="37"/>
    </row>
    <row r="190" spans="3:3" x14ac:dyDescent="0.25">
      <c r="C190" s="37"/>
    </row>
    <row r="191" spans="3:3" x14ac:dyDescent="0.25">
      <c r="C191" s="37"/>
    </row>
    <row r="192" spans="3:3" x14ac:dyDescent="0.25">
      <c r="C192" s="37"/>
    </row>
    <row r="193" spans="3:3" x14ac:dyDescent="0.25">
      <c r="C193" s="37"/>
    </row>
    <row r="194" spans="3:3" x14ac:dyDescent="0.25">
      <c r="C194" s="37"/>
    </row>
    <row r="195" spans="3:3" x14ac:dyDescent="0.25">
      <c r="C195" s="37"/>
    </row>
    <row r="196" spans="3:3" x14ac:dyDescent="0.25">
      <c r="C196" s="37"/>
    </row>
    <row r="197" spans="3:3" x14ac:dyDescent="0.25">
      <c r="C197" s="37"/>
    </row>
    <row r="198" spans="3:3" x14ac:dyDescent="0.25">
      <c r="C198" s="37"/>
    </row>
    <row r="199" spans="3:3" x14ac:dyDescent="0.25">
      <c r="C199" s="37"/>
    </row>
    <row r="200" spans="3:3" x14ac:dyDescent="0.25">
      <c r="C200" s="37"/>
    </row>
    <row r="201" spans="3:3" x14ac:dyDescent="0.25">
      <c r="C201" s="37"/>
    </row>
    <row r="202" spans="3:3" x14ac:dyDescent="0.25">
      <c r="C202" s="37"/>
    </row>
    <row r="203" spans="3:3" x14ac:dyDescent="0.25">
      <c r="C203" s="37"/>
    </row>
    <row r="204" spans="3:3" x14ac:dyDescent="0.25">
      <c r="C204" s="37"/>
    </row>
    <row r="205" spans="3:3" x14ac:dyDescent="0.25">
      <c r="C205" s="37"/>
    </row>
    <row r="206" spans="3:3" x14ac:dyDescent="0.25">
      <c r="C206" s="37"/>
    </row>
    <row r="207" spans="3:3" x14ac:dyDescent="0.25">
      <c r="C207" s="37"/>
    </row>
    <row r="208" spans="3:3" x14ac:dyDescent="0.25">
      <c r="C208" s="37"/>
    </row>
    <row r="209" spans="3:3" x14ac:dyDescent="0.25">
      <c r="C209" s="37"/>
    </row>
    <row r="210" spans="3:3" x14ac:dyDescent="0.25">
      <c r="C210" s="37"/>
    </row>
    <row r="211" spans="3:3" x14ac:dyDescent="0.25">
      <c r="C211" s="37"/>
    </row>
    <row r="212" spans="3:3" x14ac:dyDescent="0.25">
      <c r="C212" s="37"/>
    </row>
    <row r="213" spans="3:3" x14ac:dyDescent="0.25">
      <c r="C213" s="37"/>
    </row>
    <row r="214" spans="3:3" x14ac:dyDescent="0.25">
      <c r="C214" s="37"/>
    </row>
    <row r="215" spans="3:3" x14ac:dyDescent="0.25">
      <c r="C215" s="37"/>
    </row>
    <row r="216" spans="3:3" x14ac:dyDescent="0.25">
      <c r="C216" s="37"/>
    </row>
    <row r="217" spans="3:3" x14ac:dyDescent="0.25">
      <c r="C217" s="37"/>
    </row>
    <row r="218" spans="3:3" x14ac:dyDescent="0.25">
      <c r="C218" s="37"/>
    </row>
    <row r="219" spans="3:3" x14ac:dyDescent="0.25">
      <c r="C219" s="37"/>
    </row>
    <row r="220" spans="3:3" x14ac:dyDescent="0.25">
      <c r="C220" s="37"/>
    </row>
    <row r="221" spans="3:3" x14ac:dyDescent="0.25">
      <c r="C221" s="37"/>
    </row>
    <row r="222" spans="3:3" x14ac:dyDescent="0.25">
      <c r="C222" s="37"/>
    </row>
    <row r="223" spans="3:3" x14ac:dyDescent="0.25">
      <c r="C223" s="37"/>
    </row>
    <row r="224" spans="3:3" x14ac:dyDescent="0.25">
      <c r="C224" s="37"/>
    </row>
    <row r="225" spans="3:3" x14ac:dyDescent="0.25">
      <c r="C225" s="37"/>
    </row>
    <row r="226" spans="3:3" x14ac:dyDescent="0.25">
      <c r="C226" s="37"/>
    </row>
    <row r="227" spans="3:3" x14ac:dyDescent="0.25">
      <c r="C227" s="37"/>
    </row>
    <row r="228" spans="3:3" x14ac:dyDescent="0.25">
      <c r="C228" s="37"/>
    </row>
    <row r="229" spans="3:3" x14ac:dyDescent="0.25">
      <c r="C229" s="37"/>
    </row>
    <row r="230" spans="3:3" x14ac:dyDescent="0.25">
      <c r="C230" s="37"/>
    </row>
    <row r="231" spans="3:3" x14ac:dyDescent="0.25">
      <c r="C231" s="37"/>
    </row>
    <row r="232" spans="3:3" x14ac:dyDescent="0.25">
      <c r="C232" s="37"/>
    </row>
    <row r="233" spans="3:3" x14ac:dyDescent="0.25">
      <c r="C233" s="37"/>
    </row>
    <row r="234" spans="3:3" x14ac:dyDescent="0.25">
      <c r="C234" s="37"/>
    </row>
    <row r="235" spans="3:3" x14ac:dyDescent="0.25">
      <c r="C235" s="37"/>
    </row>
    <row r="236" spans="3:3" x14ac:dyDescent="0.25">
      <c r="C236" s="37"/>
    </row>
    <row r="237" spans="3:3" x14ac:dyDescent="0.25">
      <c r="C237" s="37"/>
    </row>
    <row r="238" spans="3:3" x14ac:dyDescent="0.25">
      <c r="C238" s="37"/>
    </row>
    <row r="239" spans="3:3" x14ac:dyDescent="0.25">
      <c r="C239" s="37"/>
    </row>
    <row r="240" spans="3:3" x14ac:dyDescent="0.25">
      <c r="C240" s="37"/>
    </row>
    <row r="241" spans="3:3" x14ac:dyDescent="0.25">
      <c r="C241" s="37"/>
    </row>
    <row r="242" spans="3:3" x14ac:dyDescent="0.25">
      <c r="C242" s="37"/>
    </row>
    <row r="243" spans="3:3" x14ac:dyDescent="0.25">
      <c r="C243" s="37"/>
    </row>
    <row r="244" spans="3:3" x14ac:dyDescent="0.25">
      <c r="C244" s="37"/>
    </row>
    <row r="245" spans="3:3" x14ac:dyDescent="0.25">
      <c r="C245" s="37"/>
    </row>
    <row r="246" spans="3:3" x14ac:dyDescent="0.25">
      <c r="C246" s="37"/>
    </row>
    <row r="247" spans="3:3" x14ac:dyDescent="0.25">
      <c r="C247" s="37"/>
    </row>
    <row r="248" spans="3:3" x14ac:dyDescent="0.25">
      <c r="C248" s="37"/>
    </row>
    <row r="249" spans="3:3" x14ac:dyDescent="0.25">
      <c r="C249" s="37"/>
    </row>
    <row r="250" spans="3:3" x14ac:dyDescent="0.25">
      <c r="C250" s="37"/>
    </row>
    <row r="251" spans="3:3" x14ac:dyDescent="0.25">
      <c r="C251" s="37"/>
    </row>
    <row r="252" spans="3:3" x14ac:dyDescent="0.25">
      <c r="C252" s="37"/>
    </row>
    <row r="253" spans="3:3" x14ac:dyDescent="0.25">
      <c r="C253" s="37"/>
    </row>
    <row r="254" spans="3:3" x14ac:dyDescent="0.25">
      <c r="C254" s="37"/>
    </row>
    <row r="255" spans="3:3" x14ac:dyDescent="0.25">
      <c r="C255" s="37"/>
    </row>
    <row r="256" spans="3:3" x14ac:dyDescent="0.25">
      <c r="C256" s="37"/>
    </row>
    <row r="257" spans="3:3" x14ac:dyDescent="0.25">
      <c r="C257" s="37"/>
    </row>
    <row r="258" spans="3:3" x14ac:dyDescent="0.25">
      <c r="C258" s="37"/>
    </row>
    <row r="259" spans="3:3" x14ac:dyDescent="0.25">
      <c r="C259" s="37"/>
    </row>
    <row r="260" spans="3:3" x14ac:dyDescent="0.25">
      <c r="C260" s="37"/>
    </row>
    <row r="261" spans="3:3" x14ac:dyDescent="0.25">
      <c r="C261" s="37"/>
    </row>
    <row r="262" spans="3:3" x14ac:dyDescent="0.25">
      <c r="C262" s="37"/>
    </row>
    <row r="263" spans="3:3" x14ac:dyDescent="0.25">
      <c r="C263" s="37"/>
    </row>
    <row r="264" spans="3:3" x14ac:dyDescent="0.25">
      <c r="C264" s="37"/>
    </row>
    <row r="265" spans="3:3" x14ac:dyDescent="0.25">
      <c r="C265" s="37"/>
    </row>
    <row r="266" spans="3:3" x14ac:dyDescent="0.25">
      <c r="C266" s="37"/>
    </row>
    <row r="267" spans="3:3" x14ac:dyDescent="0.25">
      <c r="C267" s="37"/>
    </row>
    <row r="268" spans="3:3" x14ac:dyDescent="0.25">
      <c r="C268" s="37"/>
    </row>
    <row r="269" spans="3:3" x14ac:dyDescent="0.25">
      <c r="C269" s="37"/>
    </row>
    <row r="270" spans="3:3" x14ac:dyDescent="0.25">
      <c r="C270" s="37"/>
    </row>
    <row r="271" spans="3:3" x14ac:dyDescent="0.25">
      <c r="C271" s="37"/>
    </row>
    <row r="272" spans="3:3" x14ac:dyDescent="0.25">
      <c r="C272" s="37"/>
    </row>
    <row r="273" spans="3:3" x14ac:dyDescent="0.25">
      <c r="C273" s="37"/>
    </row>
    <row r="274" spans="3:3" x14ac:dyDescent="0.25">
      <c r="C274" s="37"/>
    </row>
    <row r="275" spans="3:3" x14ac:dyDescent="0.25">
      <c r="C275" s="37"/>
    </row>
    <row r="276" spans="3:3" x14ac:dyDescent="0.25">
      <c r="C276" s="37"/>
    </row>
    <row r="277" spans="3:3" x14ac:dyDescent="0.25">
      <c r="C277" s="37"/>
    </row>
    <row r="278" spans="3:3" x14ac:dyDescent="0.25">
      <c r="C278" s="37"/>
    </row>
    <row r="279" spans="3:3" x14ac:dyDescent="0.25">
      <c r="C279" s="37"/>
    </row>
    <row r="280" spans="3:3" x14ac:dyDescent="0.25">
      <c r="C280" s="37"/>
    </row>
    <row r="281" spans="3:3" x14ac:dyDescent="0.25">
      <c r="C281" s="37"/>
    </row>
    <row r="282" spans="3:3" x14ac:dyDescent="0.25">
      <c r="C282" s="37"/>
    </row>
    <row r="283" spans="3:3" x14ac:dyDescent="0.25">
      <c r="C283" s="37"/>
    </row>
    <row r="284" spans="3:3" x14ac:dyDescent="0.25">
      <c r="C284" s="37"/>
    </row>
    <row r="285" spans="3:3" x14ac:dyDescent="0.25">
      <c r="C285" s="37"/>
    </row>
    <row r="286" spans="3:3" x14ac:dyDescent="0.25">
      <c r="C286" s="37"/>
    </row>
    <row r="287" spans="3:3" x14ac:dyDescent="0.25">
      <c r="C287" s="37"/>
    </row>
    <row r="288" spans="3:3" x14ac:dyDescent="0.25">
      <c r="C288" s="37"/>
    </row>
    <row r="289" spans="3:3" x14ac:dyDescent="0.25">
      <c r="C289" s="37"/>
    </row>
    <row r="290" spans="3:3" x14ac:dyDescent="0.25">
      <c r="C290" s="37"/>
    </row>
    <row r="291" spans="3:3" x14ac:dyDescent="0.25">
      <c r="C291" s="37"/>
    </row>
    <row r="292" spans="3:3" x14ac:dyDescent="0.25">
      <c r="C292" s="37"/>
    </row>
    <row r="293" spans="3:3" x14ac:dyDescent="0.25">
      <c r="C293" s="37"/>
    </row>
    <row r="294" spans="3:3" x14ac:dyDescent="0.25">
      <c r="C294" s="37"/>
    </row>
    <row r="295" spans="3:3" x14ac:dyDescent="0.25">
      <c r="C295" s="37"/>
    </row>
    <row r="296" spans="3:3" x14ac:dyDescent="0.25">
      <c r="C296" s="37"/>
    </row>
    <row r="297" spans="3:3" x14ac:dyDescent="0.25">
      <c r="C297" s="37"/>
    </row>
    <row r="298" spans="3:3" x14ac:dyDescent="0.25">
      <c r="C298" s="37"/>
    </row>
    <row r="299" spans="3:3" x14ac:dyDescent="0.25">
      <c r="C299" s="37"/>
    </row>
    <row r="300" spans="3:3" x14ac:dyDescent="0.25">
      <c r="C300" s="37"/>
    </row>
    <row r="301" spans="3:3" x14ac:dyDescent="0.25">
      <c r="C301" s="37"/>
    </row>
    <row r="302" spans="3:3" x14ac:dyDescent="0.25">
      <c r="C302" s="37"/>
    </row>
    <row r="303" spans="3:3" x14ac:dyDescent="0.25">
      <c r="C303" s="37"/>
    </row>
    <row r="304" spans="3:3" x14ac:dyDescent="0.25">
      <c r="C304" s="37"/>
    </row>
    <row r="305" spans="3:3" x14ac:dyDescent="0.25">
      <c r="C305" s="37"/>
    </row>
    <row r="306" spans="3:3" x14ac:dyDescent="0.25">
      <c r="C306" s="37"/>
    </row>
    <row r="307" spans="3:3" x14ac:dyDescent="0.25">
      <c r="C307" s="37"/>
    </row>
    <row r="308" spans="3:3" x14ac:dyDescent="0.25">
      <c r="C308" s="37"/>
    </row>
    <row r="309" spans="3:3" x14ac:dyDescent="0.25">
      <c r="C309" s="37"/>
    </row>
    <row r="310" spans="3:3" x14ac:dyDescent="0.25">
      <c r="C310" s="37"/>
    </row>
    <row r="311" spans="3:3" x14ac:dyDescent="0.25">
      <c r="C311" s="37"/>
    </row>
    <row r="312" spans="3:3" x14ac:dyDescent="0.25">
      <c r="C312" s="37"/>
    </row>
    <row r="313" spans="3:3" x14ac:dyDescent="0.25">
      <c r="C313" s="37"/>
    </row>
    <row r="314" spans="3:3" x14ac:dyDescent="0.25">
      <c r="C314" s="37"/>
    </row>
    <row r="315" spans="3:3" x14ac:dyDescent="0.25">
      <c r="C315" s="37"/>
    </row>
    <row r="316" spans="3:3" x14ac:dyDescent="0.25">
      <c r="C316" s="37"/>
    </row>
    <row r="317" spans="3:3" x14ac:dyDescent="0.25">
      <c r="C317" s="37"/>
    </row>
    <row r="318" spans="3:3" x14ac:dyDescent="0.25">
      <c r="C318" s="37"/>
    </row>
    <row r="319" spans="3:3" x14ac:dyDescent="0.25">
      <c r="C319" s="37"/>
    </row>
    <row r="320" spans="3:3" x14ac:dyDescent="0.25">
      <c r="C320" s="37"/>
    </row>
    <row r="321" spans="3:3" x14ac:dyDescent="0.25">
      <c r="C321" s="37"/>
    </row>
    <row r="322" spans="3:3" x14ac:dyDescent="0.25">
      <c r="C322" s="37"/>
    </row>
    <row r="323" spans="3:3" x14ac:dyDescent="0.25">
      <c r="C323" s="37"/>
    </row>
    <row r="324" spans="3:3" x14ac:dyDescent="0.25">
      <c r="C324" s="37"/>
    </row>
    <row r="325" spans="3:3" x14ac:dyDescent="0.25">
      <c r="C325" s="37"/>
    </row>
    <row r="326" spans="3:3" x14ac:dyDescent="0.25">
      <c r="C326" s="37"/>
    </row>
    <row r="327" spans="3:3" x14ac:dyDescent="0.25">
      <c r="C327" s="37"/>
    </row>
    <row r="328" spans="3:3" x14ac:dyDescent="0.25">
      <c r="C328" s="37"/>
    </row>
    <row r="329" spans="3:3" x14ac:dyDescent="0.25">
      <c r="C329" s="37"/>
    </row>
    <row r="330" spans="3:3" x14ac:dyDescent="0.25">
      <c r="C330" s="37"/>
    </row>
    <row r="331" spans="3:3" x14ac:dyDescent="0.25">
      <c r="C331" s="37"/>
    </row>
    <row r="332" spans="3:3" x14ac:dyDescent="0.25">
      <c r="C332" s="37"/>
    </row>
    <row r="333" spans="3:3" x14ac:dyDescent="0.25">
      <c r="C333" s="37"/>
    </row>
    <row r="334" spans="3:3" x14ac:dyDescent="0.25">
      <c r="C334" s="37"/>
    </row>
    <row r="335" spans="3:3" x14ac:dyDescent="0.25">
      <c r="C335" s="37"/>
    </row>
    <row r="336" spans="3:3" x14ac:dyDescent="0.25">
      <c r="C336" s="37"/>
    </row>
    <row r="337" spans="3:3" x14ac:dyDescent="0.25">
      <c r="C337" s="37"/>
    </row>
    <row r="338" spans="3:3" x14ac:dyDescent="0.25">
      <c r="C338" s="37"/>
    </row>
    <row r="339" spans="3:3" x14ac:dyDescent="0.25">
      <c r="C339" s="37"/>
    </row>
    <row r="340" spans="3:3" x14ac:dyDescent="0.25">
      <c r="C340" s="37"/>
    </row>
    <row r="341" spans="3:3" x14ac:dyDescent="0.25">
      <c r="C341" s="37"/>
    </row>
    <row r="342" spans="3:3" x14ac:dyDescent="0.25">
      <c r="C342" s="37"/>
    </row>
    <row r="343" spans="3:3" x14ac:dyDescent="0.25">
      <c r="C343" s="37"/>
    </row>
    <row r="344" spans="3:3" x14ac:dyDescent="0.25">
      <c r="C344" s="37"/>
    </row>
    <row r="345" spans="3:3" x14ac:dyDescent="0.25">
      <c r="C345" s="37"/>
    </row>
    <row r="346" spans="3:3" x14ac:dyDescent="0.25">
      <c r="C346" s="37"/>
    </row>
    <row r="347" spans="3:3" x14ac:dyDescent="0.25">
      <c r="C347" s="37"/>
    </row>
    <row r="348" spans="3:3" x14ac:dyDescent="0.25">
      <c r="C348" s="37"/>
    </row>
    <row r="349" spans="3:3" x14ac:dyDescent="0.25">
      <c r="C349" s="37"/>
    </row>
    <row r="350" spans="3:3" x14ac:dyDescent="0.25">
      <c r="C350" s="37"/>
    </row>
    <row r="351" spans="3:3" x14ac:dyDescent="0.25">
      <c r="C351" s="37"/>
    </row>
    <row r="352" spans="3:3" x14ac:dyDescent="0.25">
      <c r="C352" s="37"/>
    </row>
    <row r="353" spans="3:3" x14ac:dyDescent="0.25">
      <c r="C353" s="37"/>
    </row>
    <row r="354" spans="3:3" x14ac:dyDescent="0.25">
      <c r="C354" s="37"/>
    </row>
    <row r="355" spans="3:3" x14ac:dyDescent="0.25">
      <c r="C355" s="37"/>
    </row>
    <row r="356" spans="3:3" x14ac:dyDescent="0.25">
      <c r="C356" s="37"/>
    </row>
    <row r="357" spans="3:3" x14ac:dyDescent="0.25">
      <c r="C357" s="37"/>
    </row>
    <row r="358" spans="3:3" x14ac:dyDescent="0.25">
      <c r="C358" s="37"/>
    </row>
    <row r="359" spans="3:3" x14ac:dyDescent="0.25">
      <c r="C359" s="37"/>
    </row>
    <row r="360" spans="3:3" x14ac:dyDescent="0.25">
      <c r="C360" s="37"/>
    </row>
    <row r="361" spans="3:3" x14ac:dyDescent="0.25">
      <c r="C361" s="37"/>
    </row>
    <row r="362" spans="3:3" x14ac:dyDescent="0.25">
      <c r="C362" s="37"/>
    </row>
    <row r="363" spans="3:3" x14ac:dyDescent="0.25">
      <c r="C363" s="37"/>
    </row>
    <row r="364" spans="3:3" x14ac:dyDescent="0.25">
      <c r="C364" s="37"/>
    </row>
    <row r="365" spans="3:3" x14ac:dyDescent="0.25">
      <c r="C365" s="37"/>
    </row>
    <row r="366" spans="3:3" x14ac:dyDescent="0.25">
      <c r="C366" s="37"/>
    </row>
    <row r="367" spans="3:3" x14ac:dyDescent="0.25">
      <c r="C367" s="37"/>
    </row>
    <row r="368" spans="3:3" x14ac:dyDescent="0.25">
      <c r="C368" s="37"/>
    </row>
    <row r="369" spans="3:3" x14ac:dyDescent="0.25">
      <c r="C369" s="37"/>
    </row>
    <row r="370" spans="3:3" x14ac:dyDescent="0.25">
      <c r="C370" s="37"/>
    </row>
    <row r="371" spans="3:3" x14ac:dyDescent="0.25">
      <c r="C371" s="37"/>
    </row>
    <row r="372" spans="3:3" x14ac:dyDescent="0.25">
      <c r="C372" s="37"/>
    </row>
    <row r="373" spans="3:3" x14ac:dyDescent="0.25">
      <c r="C373" s="37"/>
    </row>
    <row r="374" spans="3:3" x14ac:dyDescent="0.25">
      <c r="C374" s="37"/>
    </row>
    <row r="375" spans="3:3" x14ac:dyDescent="0.25">
      <c r="C375" s="37"/>
    </row>
    <row r="376" spans="3:3" x14ac:dyDescent="0.25">
      <c r="C376" s="37"/>
    </row>
    <row r="377" spans="3:3" x14ac:dyDescent="0.25">
      <c r="C377" s="37"/>
    </row>
    <row r="378" spans="3:3" x14ac:dyDescent="0.25">
      <c r="C378" s="37"/>
    </row>
    <row r="379" spans="3:3" x14ac:dyDescent="0.25">
      <c r="C379" s="37"/>
    </row>
    <row r="380" spans="3:3" x14ac:dyDescent="0.25">
      <c r="C380" s="37"/>
    </row>
    <row r="381" spans="3:3" x14ac:dyDescent="0.25">
      <c r="C381" s="37"/>
    </row>
    <row r="382" spans="3:3" x14ac:dyDescent="0.25">
      <c r="C382" s="37"/>
    </row>
    <row r="383" spans="3:3" x14ac:dyDescent="0.25">
      <c r="C383" s="37"/>
    </row>
    <row r="384" spans="3:3" x14ac:dyDescent="0.25">
      <c r="C384" s="37"/>
    </row>
    <row r="385" spans="3:3" x14ac:dyDescent="0.25">
      <c r="C385" s="37"/>
    </row>
    <row r="386" spans="3:3" x14ac:dyDescent="0.25">
      <c r="C386" s="37"/>
    </row>
    <row r="387" spans="3:3" x14ac:dyDescent="0.25">
      <c r="C387" s="37"/>
    </row>
    <row r="388" spans="3:3" x14ac:dyDescent="0.25">
      <c r="C388" s="37"/>
    </row>
    <row r="389" spans="3:3" x14ac:dyDescent="0.25">
      <c r="C389" s="37"/>
    </row>
    <row r="390" spans="3:3" x14ac:dyDescent="0.25">
      <c r="C390" s="37"/>
    </row>
    <row r="391" spans="3:3" x14ac:dyDescent="0.25">
      <c r="C391" s="37"/>
    </row>
    <row r="392" spans="3:3" x14ac:dyDescent="0.25">
      <c r="C392" s="37"/>
    </row>
    <row r="393" spans="3:3" x14ac:dyDescent="0.25">
      <c r="C393" s="37"/>
    </row>
    <row r="394" spans="3:3" x14ac:dyDescent="0.25">
      <c r="C394" s="37"/>
    </row>
    <row r="395" spans="3:3" x14ac:dyDescent="0.25">
      <c r="C395" s="37"/>
    </row>
    <row r="396" spans="3:3" x14ac:dyDescent="0.25">
      <c r="C396" s="37"/>
    </row>
    <row r="397" spans="3:3" x14ac:dyDescent="0.25">
      <c r="C397" s="37"/>
    </row>
    <row r="398" spans="3:3" x14ac:dyDescent="0.25">
      <c r="C398" s="37"/>
    </row>
    <row r="399" spans="3:3" x14ac:dyDescent="0.25">
      <c r="C399" s="37"/>
    </row>
    <row r="400" spans="3:3" x14ac:dyDescent="0.25">
      <c r="C400" s="37"/>
    </row>
    <row r="401" spans="3:3" x14ac:dyDescent="0.25">
      <c r="C401" s="37"/>
    </row>
    <row r="402" spans="3:3" x14ac:dyDescent="0.25">
      <c r="C402" s="37"/>
    </row>
    <row r="403" spans="3:3" x14ac:dyDescent="0.25">
      <c r="C403" s="37"/>
    </row>
    <row r="404" spans="3:3" x14ac:dyDescent="0.25">
      <c r="C404" s="37"/>
    </row>
    <row r="405" spans="3:3" x14ac:dyDescent="0.25">
      <c r="C405" s="37"/>
    </row>
    <row r="406" spans="3:3" x14ac:dyDescent="0.25">
      <c r="C406" s="37"/>
    </row>
    <row r="407" spans="3:3" x14ac:dyDescent="0.25">
      <c r="C407" s="37"/>
    </row>
    <row r="408" spans="3:3" x14ac:dyDescent="0.25">
      <c r="C408" s="37"/>
    </row>
    <row r="409" spans="3:3" x14ac:dyDescent="0.25">
      <c r="C409" s="37"/>
    </row>
    <row r="410" spans="3:3" x14ac:dyDescent="0.25">
      <c r="C410" s="37"/>
    </row>
    <row r="411" spans="3:3" x14ac:dyDescent="0.25">
      <c r="C411" s="37"/>
    </row>
    <row r="412" spans="3:3" x14ac:dyDescent="0.25">
      <c r="C412" s="37"/>
    </row>
    <row r="413" spans="3:3" x14ac:dyDescent="0.25">
      <c r="C413" s="37"/>
    </row>
    <row r="414" spans="3:3" x14ac:dyDescent="0.25">
      <c r="C414" s="37"/>
    </row>
    <row r="415" spans="3:3" x14ac:dyDescent="0.25">
      <c r="C415" s="37"/>
    </row>
    <row r="416" spans="3:3" x14ac:dyDescent="0.25">
      <c r="C416" s="37"/>
    </row>
    <row r="417" spans="3:3" x14ac:dyDescent="0.25">
      <c r="C417" s="37"/>
    </row>
    <row r="418" spans="3:3" x14ac:dyDescent="0.25">
      <c r="C418" s="37"/>
    </row>
    <row r="419" spans="3:3" x14ac:dyDescent="0.25">
      <c r="C419" s="37"/>
    </row>
    <row r="420" spans="3:3" x14ac:dyDescent="0.25">
      <c r="C420" s="37"/>
    </row>
    <row r="421" spans="3:3" x14ac:dyDescent="0.25">
      <c r="C421" s="37"/>
    </row>
    <row r="422" spans="3:3" x14ac:dyDescent="0.25">
      <c r="C422" s="37"/>
    </row>
    <row r="423" spans="3:3" x14ac:dyDescent="0.25">
      <c r="C423" s="37"/>
    </row>
    <row r="424" spans="3:3" x14ac:dyDescent="0.25">
      <c r="C424" s="37"/>
    </row>
    <row r="425" spans="3:3" x14ac:dyDescent="0.25">
      <c r="C425" s="37"/>
    </row>
    <row r="426" spans="3:3" x14ac:dyDescent="0.25">
      <c r="C426" s="37"/>
    </row>
    <row r="427" spans="3:3" x14ac:dyDescent="0.25">
      <c r="C427" s="37"/>
    </row>
    <row r="428" spans="3:3" x14ac:dyDescent="0.25">
      <c r="C428" s="37"/>
    </row>
    <row r="429" spans="3:3" x14ac:dyDescent="0.25">
      <c r="C429" s="37"/>
    </row>
    <row r="430" spans="3:3" x14ac:dyDescent="0.25">
      <c r="C430" s="37"/>
    </row>
    <row r="431" spans="3:3" x14ac:dyDescent="0.25">
      <c r="C431" s="37"/>
    </row>
    <row r="432" spans="3:3" x14ac:dyDescent="0.25">
      <c r="C432" s="37"/>
    </row>
    <row r="433" spans="3:3" x14ac:dyDescent="0.25">
      <c r="C433" s="37"/>
    </row>
    <row r="434" spans="3:3" x14ac:dyDescent="0.25">
      <c r="C434" s="37"/>
    </row>
    <row r="435" spans="3:3" x14ac:dyDescent="0.25">
      <c r="C435" s="37"/>
    </row>
    <row r="436" spans="3:3" x14ac:dyDescent="0.25">
      <c r="C436" s="37"/>
    </row>
    <row r="437" spans="3:3" x14ac:dyDescent="0.25">
      <c r="C437" s="37"/>
    </row>
    <row r="438" spans="3:3" x14ac:dyDescent="0.25">
      <c r="C438" s="37"/>
    </row>
    <row r="439" spans="3:3" x14ac:dyDescent="0.25">
      <c r="C439" s="37"/>
    </row>
    <row r="440" spans="3:3" x14ac:dyDescent="0.25">
      <c r="C440" s="37"/>
    </row>
    <row r="441" spans="3:3" x14ac:dyDescent="0.25">
      <c r="C441" s="37"/>
    </row>
    <row r="442" spans="3:3" x14ac:dyDescent="0.25">
      <c r="C442" s="37"/>
    </row>
    <row r="443" spans="3:3" x14ac:dyDescent="0.25">
      <c r="C443" s="37"/>
    </row>
    <row r="444" spans="3:3" x14ac:dyDescent="0.25">
      <c r="C444" s="37"/>
    </row>
    <row r="445" spans="3:3" x14ac:dyDescent="0.25">
      <c r="C445" s="37"/>
    </row>
    <row r="446" spans="3:3" x14ac:dyDescent="0.25">
      <c r="C446" s="37"/>
    </row>
    <row r="447" spans="3:3" x14ac:dyDescent="0.25">
      <c r="C447" s="37"/>
    </row>
    <row r="448" spans="3:3" x14ac:dyDescent="0.25">
      <c r="C448" s="37"/>
    </row>
    <row r="449" spans="3:3" x14ac:dyDescent="0.25">
      <c r="C449" s="37"/>
    </row>
    <row r="450" spans="3:3" x14ac:dyDescent="0.25">
      <c r="C450" s="37"/>
    </row>
    <row r="451" spans="3:3" x14ac:dyDescent="0.25">
      <c r="C451" s="37"/>
    </row>
    <row r="452" spans="3:3" x14ac:dyDescent="0.25">
      <c r="C452" s="37"/>
    </row>
    <row r="453" spans="3:3" x14ac:dyDescent="0.25">
      <c r="C453" s="37"/>
    </row>
    <row r="454" spans="3:3" x14ac:dyDescent="0.25">
      <c r="C454" s="37"/>
    </row>
    <row r="455" spans="3:3" x14ac:dyDescent="0.25">
      <c r="C455" s="37"/>
    </row>
    <row r="456" spans="3:3" x14ac:dyDescent="0.25">
      <c r="C456" s="37"/>
    </row>
    <row r="457" spans="3:3" x14ac:dyDescent="0.25">
      <c r="C457" s="37"/>
    </row>
    <row r="458" spans="3:3" x14ac:dyDescent="0.25">
      <c r="C458" s="37"/>
    </row>
    <row r="459" spans="3:3" x14ac:dyDescent="0.25">
      <c r="C459" s="37"/>
    </row>
    <row r="460" spans="3:3" x14ac:dyDescent="0.25">
      <c r="C460" s="37"/>
    </row>
    <row r="461" spans="3:3" x14ac:dyDescent="0.25">
      <c r="C461" s="37"/>
    </row>
    <row r="462" spans="3:3" x14ac:dyDescent="0.25">
      <c r="C462" s="37"/>
    </row>
    <row r="463" spans="3:3" x14ac:dyDescent="0.25">
      <c r="C463" s="37"/>
    </row>
    <row r="464" spans="3:3" x14ac:dyDescent="0.25">
      <c r="C464" s="37"/>
    </row>
    <row r="465" spans="3:3" x14ac:dyDescent="0.25">
      <c r="C465" s="37"/>
    </row>
    <row r="466" spans="3:3" x14ac:dyDescent="0.25">
      <c r="C466" s="37"/>
    </row>
    <row r="467" spans="3:3" x14ac:dyDescent="0.25">
      <c r="C467" s="37"/>
    </row>
    <row r="468" spans="3:3" x14ac:dyDescent="0.25">
      <c r="C468" s="37"/>
    </row>
    <row r="469" spans="3:3" x14ac:dyDescent="0.25">
      <c r="C469" s="37"/>
    </row>
    <row r="470" spans="3:3" x14ac:dyDescent="0.25">
      <c r="C470" s="37"/>
    </row>
    <row r="471" spans="3:3" x14ac:dyDescent="0.25">
      <c r="C471" s="37"/>
    </row>
    <row r="472" spans="3:3" x14ac:dyDescent="0.25">
      <c r="C472" s="37"/>
    </row>
    <row r="473" spans="3:3" x14ac:dyDescent="0.25">
      <c r="C473" s="37"/>
    </row>
    <row r="474" spans="3:3" x14ac:dyDescent="0.25">
      <c r="C474" s="37"/>
    </row>
    <row r="475" spans="3:3" x14ac:dyDescent="0.25">
      <c r="C475" s="37"/>
    </row>
    <row r="476" spans="3:3" x14ac:dyDescent="0.25">
      <c r="C476" s="37"/>
    </row>
    <row r="477" spans="3:3" x14ac:dyDescent="0.25">
      <c r="C477" s="37"/>
    </row>
    <row r="478" spans="3:3" x14ac:dyDescent="0.25">
      <c r="C478" s="37"/>
    </row>
    <row r="479" spans="3:3" x14ac:dyDescent="0.25">
      <c r="C479" s="37"/>
    </row>
    <row r="480" spans="3:3" x14ac:dyDescent="0.25">
      <c r="C480" s="37"/>
    </row>
    <row r="481" spans="3:3" x14ac:dyDescent="0.25">
      <c r="C481" s="37"/>
    </row>
    <row r="482" spans="3:3" x14ac:dyDescent="0.25">
      <c r="C482" s="37"/>
    </row>
    <row r="483" spans="3:3" x14ac:dyDescent="0.25">
      <c r="C483" s="37"/>
    </row>
    <row r="484" spans="3:3" x14ac:dyDescent="0.25">
      <c r="C484" s="37"/>
    </row>
    <row r="485" spans="3:3" x14ac:dyDescent="0.25">
      <c r="C485" s="37"/>
    </row>
    <row r="486" spans="3:3" x14ac:dyDescent="0.25">
      <c r="C486" s="37"/>
    </row>
    <row r="487" spans="3:3" x14ac:dyDescent="0.25">
      <c r="C487" s="37"/>
    </row>
    <row r="488" spans="3:3" x14ac:dyDescent="0.25">
      <c r="C488" s="37"/>
    </row>
    <row r="489" spans="3:3" x14ac:dyDescent="0.25">
      <c r="C489" s="37"/>
    </row>
    <row r="490" spans="3:3" x14ac:dyDescent="0.25">
      <c r="C490" s="37"/>
    </row>
    <row r="491" spans="3:3" x14ac:dyDescent="0.25">
      <c r="C491" s="37"/>
    </row>
    <row r="492" spans="3:3" x14ac:dyDescent="0.25">
      <c r="C492" s="37"/>
    </row>
    <row r="493" spans="3:3" x14ac:dyDescent="0.25">
      <c r="C493" s="37"/>
    </row>
    <row r="494" spans="3:3" x14ac:dyDescent="0.25">
      <c r="C494" s="37"/>
    </row>
    <row r="495" spans="3:3" x14ac:dyDescent="0.25">
      <c r="C495" s="37"/>
    </row>
    <row r="496" spans="3:3" x14ac:dyDescent="0.25">
      <c r="C496" s="37"/>
    </row>
    <row r="497" spans="3:3" x14ac:dyDescent="0.25">
      <c r="C497" s="37"/>
    </row>
    <row r="498" spans="3:3" x14ac:dyDescent="0.25">
      <c r="C498" s="37"/>
    </row>
    <row r="499" spans="3:3" x14ac:dyDescent="0.25">
      <c r="C499" s="37"/>
    </row>
    <row r="500" spans="3:3" x14ac:dyDescent="0.25">
      <c r="C500" s="37"/>
    </row>
    <row r="501" spans="3:3" x14ac:dyDescent="0.25">
      <c r="C501" s="37"/>
    </row>
    <row r="502" spans="3:3" x14ac:dyDescent="0.25">
      <c r="C502" s="37"/>
    </row>
    <row r="503" spans="3:3" x14ac:dyDescent="0.25">
      <c r="C503" s="37"/>
    </row>
    <row r="504" spans="3:3" x14ac:dyDescent="0.25">
      <c r="C504" s="37"/>
    </row>
    <row r="505" spans="3:3" x14ac:dyDescent="0.25">
      <c r="C505" s="37"/>
    </row>
    <row r="506" spans="3:3" x14ac:dyDescent="0.25">
      <c r="C506" s="37"/>
    </row>
    <row r="507" spans="3:3" x14ac:dyDescent="0.25">
      <c r="C507" s="37"/>
    </row>
    <row r="508" spans="3:3" x14ac:dyDescent="0.25">
      <c r="C508" s="37"/>
    </row>
    <row r="509" spans="3:3" x14ac:dyDescent="0.25">
      <c r="C509" s="37"/>
    </row>
    <row r="510" spans="3:3" x14ac:dyDescent="0.25">
      <c r="C510" s="37"/>
    </row>
    <row r="511" spans="3:3" x14ac:dyDescent="0.25">
      <c r="C511" s="37"/>
    </row>
    <row r="512" spans="3:3" x14ac:dyDescent="0.25">
      <c r="C512" s="37"/>
    </row>
    <row r="513" spans="3:3" x14ac:dyDescent="0.25">
      <c r="C513" s="37"/>
    </row>
    <row r="514" spans="3:3" x14ac:dyDescent="0.25">
      <c r="C514" s="37"/>
    </row>
    <row r="515" spans="3:3" x14ac:dyDescent="0.25">
      <c r="C515" s="37"/>
    </row>
    <row r="516" spans="3:3" x14ac:dyDescent="0.25">
      <c r="C516" s="37"/>
    </row>
    <row r="517" spans="3:3" x14ac:dyDescent="0.25">
      <c r="C517" s="37"/>
    </row>
    <row r="518" spans="3:3" x14ac:dyDescent="0.25">
      <c r="C518" s="37"/>
    </row>
    <row r="519" spans="3:3" x14ac:dyDescent="0.25">
      <c r="C519" s="37"/>
    </row>
    <row r="520" spans="3:3" x14ac:dyDescent="0.25">
      <c r="C520" s="37"/>
    </row>
    <row r="521" spans="3:3" x14ac:dyDescent="0.25">
      <c r="C521" s="37"/>
    </row>
    <row r="522" spans="3:3" x14ac:dyDescent="0.25">
      <c r="C522" s="37"/>
    </row>
    <row r="523" spans="3:3" x14ac:dyDescent="0.25">
      <c r="C523" s="37"/>
    </row>
    <row r="524" spans="3:3" x14ac:dyDescent="0.25">
      <c r="C524" s="37"/>
    </row>
    <row r="525" spans="3:3" x14ac:dyDescent="0.25">
      <c r="C525" s="37"/>
    </row>
    <row r="526" spans="3:3" x14ac:dyDescent="0.25">
      <c r="C526" s="37"/>
    </row>
    <row r="527" spans="3:3" x14ac:dyDescent="0.25">
      <c r="C527" s="37"/>
    </row>
    <row r="528" spans="3:3" x14ac:dyDescent="0.25">
      <c r="C528" s="37"/>
    </row>
    <row r="529" spans="3:3" x14ac:dyDescent="0.25">
      <c r="C529" s="37"/>
    </row>
    <row r="530" spans="3:3" x14ac:dyDescent="0.25">
      <c r="C530" s="37"/>
    </row>
    <row r="531" spans="3:3" x14ac:dyDescent="0.25">
      <c r="C531" s="37"/>
    </row>
    <row r="532" spans="3:3" x14ac:dyDescent="0.25">
      <c r="C532" s="37"/>
    </row>
    <row r="533" spans="3:3" x14ac:dyDescent="0.25">
      <c r="C533" s="37"/>
    </row>
    <row r="534" spans="3:3" x14ac:dyDescent="0.25">
      <c r="C534" s="37"/>
    </row>
    <row r="535" spans="3:3" x14ac:dyDescent="0.25">
      <c r="C535" s="37"/>
    </row>
    <row r="536" spans="3:3" x14ac:dyDescent="0.25">
      <c r="C536" s="37"/>
    </row>
    <row r="537" spans="3:3" x14ac:dyDescent="0.25">
      <c r="C537" s="37"/>
    </row>
    <row r="538" spans="3:3" x14ac:dyDescent="0.25">
      <c r="C538" s="37"/>
    </row>
    <row r="539" spans="3:3" x14ac:dyDescent="0.25">
      <c r="C539" s="37"/>
    </row>
    <row r="540" spans="3:3" x14ac:dyDescent="0.25">
      <c r="C540" s="37"/>
    </row>
    <row r="541" spans="3:3" x14ac:dyDescent="0.25">
      <c r="C541" s="37"/>
    </row>
    <row r="542" spans="3:3" x14ac:dyDescent="0.25">
      <c r="C542" s="37"/>
    </row>
    <row r="543" spans="3:3" x14ac:dyDescent="0.25">
      <c r="C543" s="37"/>
    </row>
    <row r="544" spans="3:3" x14ac:dyDescent="0.25">
      <c r="C544" s="37"/>
    </row>
    <row r="545" spans="3:3" x14ac:dyDescent="0.25">
      <c r="C545" s="37"/>
    </row>
    <row r="546" spans="3:3" x14ac:dyDescent="0.25">
      <c r="C546" s="37"/>
    </row>
    <row r="547" spans="3:3" x14ac:dyDescent="0.25">
      <c r="C547" s="37"/>
    </row>
    <row r="548" spans="3:3" x14ac:dyDescent="0.25">
      <c r="C548" s="37"/>
    </row>
    <row r="549" spans="3:3" x14ac:dyDescent="0.25">
      <c r="C549" s="37"/>
    </row>
    <row r="550" spans="3:3" x14ac:dyDescent="0.25">
      <c r="C550" s="37"/>
    </row>
    <row r="551" spans="3:3" x14ac:dyDescent="0.25">
      <c r="C551" s="37"/>
    </row>
    <row r="552" spans="3:3" x14ac:dyDescent="0.25">
      <c r="C552" s="37"/>
    </row>
    <row r="553" spans="3:3" x14ac:dyDescent="0.25">
      <c r="C553" s="37"/>
    </row>
    <row r="554" spans="3:3" x14ac:dyDescent="0.25">
      <c r="C554" s="37"/>
    </row>
    <row r="555" spans="3:3" x14ac:dyDescent="0.25">
      <c r="C555" s="37"/>
    </row>
    <row r="556" spans="3:3" x14ac:dyDescent="0.25">
      <c r="C556" s="37"/>
    </row>
    <row r="557" spans="3:3" x14ac:dyDescent="0.25">
      <c r="C557" s="37"/>
    </row>
    <row r="558" spans="3:3" x14ac:dyDescent="0.25">
      <c r="C558" s="37"/>
    </row>
    <row r="559" spans="3:3" x14ac:dyDescent="0.25">
      <c r="C559" s="37"/>
    </row>
    <row r="560" spans="3:3" x14ac:dyDescent="0.25">
      <c r="C560" s="37"/>
    </row>
    <row r="561" spans="3:3" x14ac:dyDescent="0.25">
      <c r="C561" s="37"/>
    </row>
    <row r="562" spans="3:3" x14ac:dyDescent="0.25">
      <c r="C562" s="37"/>
    </row>
    <row r="563" spans="3:3" x14ac:dyDescent="0.25">
      <c r="C563" s="37"/>
    </row>
    <row r="564" spans="3:3" x14ac:dyDescent="0.25">
      <c r="C564" s="37"/>
    </row>
    <row r="565" spans="3:3" x14ac:dyDescent="0.25">
      <c r="C565" s="37"/>
    </row>
    <row r="566" spans="3:3" x14ac:dyDescent="0.25">
      <c r="C566" s="37"/>
    </row>
    <row r="567" spans="3:3" x14ac:dyDescent="0.25">
      <c r="C567" s="37"/>
    </row>
    <row r="568" spans="3:3" x14ac:dyDescent="0.25">
      <c r="C568" s="37"/>
    </row>
    <row r="569" spans="3:3" x14ac:dyDescent="0.25">
      <c r="C569" s="37"/>
    </row>
    <row r="570" spans="3:3" x14ac:dyDescent="0.25">
      <c r="C570" s="37"/>
    </row>
    <row r="571" spans="3:3" x14ac:dyDescent="0.25">
      <c r="C571" s="37"/>
    </row>
    <row r="572" spans="3:3" x14ac:dyDescent="0.25">
      <c r="C572" s="37"/>
    </row>
    <row r="573" spans="3:3" x14ac:dyDescent="0.25">
      <c r="C573" s="37"/>
    </row>
    <row r="574" spans="3:3" x14ac:dyDescent="0.25">
      <c r="C574" s="37"/>
    </row>
    <row r="575" spans="3:3" x14ac:dyDescent="0.25">
      <c r="C575" s="37"/>
    </row>
    <row r="576" spans="3:3" x14ac:dyDescent="0.25">
      <c r="C576" s="37"/>
    </row>
    <row r="577" spans="3:3" x14ac:dyDescent="0.25">
      <c r="C577" s="37"/>
    </row>
    <row r="578" spans="3:3" x14ac:dyDescent="0.25">
      <c r="C578" s="37"/>
    </row>
    <row r="579" spans="3:3" x14ac:dyDescent="0.25">
      <c r="C579" s="37"/>
    </row>
    <row r="580" spans="3:3" x14ac:dyDescent="0.25">
      <c r="C580" s="37"/>
    </row>
    <row r="581" spans="3:3" x14ac:dyDescent="0.25">
      <c r="C581" s="37"/>
    </row>
    <row r="582" spans="3:3" x14ac:dyDescent="0.25">
      <c r="C582" s="37"/>
    </row>
    <row r="583" spans="3:3" x14ac:dyDescent="0.25">
      <c r="C583" s="37"/>
    </row>
    <row r="584" spans="3:3" x14ac:dyDescent="0.25">
      <c r="C584" s="37"/>
    </row>
    <row r="585" spans="3:3" x14ac:dyDescent="0.25">
      <c r="C585" s="37"/>
    </row>
    <row r="586" spans="3:3" x14ac:dyDescent="0.25">
      <c r="C586" s="37"/>
    </row>
    <row r="587" spans="3:3" x14ac:dyDescent="0.25">
      <c r="C587" s="37"/>
    </row>
    <row r="588" spans="3:3" x14ac:dyDescent="0.25">
      <c r="C588" s="37"/>
    </row>
    <row r="589" spans="3:3" x14ac:dyDescent="0.25">
      <c r="C589" s="37"/>
    </row>
    <row r="590" spans="3:3" x14ac:dyDescent="0.25">
      <c r="C590" s="37"/>
    </row>
    <row r="591" spans="3:3" x14ac:dyDescent="0.25">
      <c r="C591" s="37"/>
    </row>
    <row r="592" spans="3:3" x14ac:dyDescent="0.25">
      <c r="C592" s="37"/>
    </row>
    <row r="593" spans="3:3" x14ac:dyDescent="0.25">
      <c r="C593" s="37"/>
    </row>
    <row r="594" spans="3:3" x14ac:dyDescent="0.25">
      <c r="C594" s="37"/>
    </row>
    <row r="595" spans="3:3" x14ac:dyDescent="0.25">
      <c r="C595" s="37"/>
    </row>
    <row r="596" spans="3:3" x14ac:dyDescent="0.25">
      <c r="C596" s="37"/>
    </row>
    <row r="597" spans="3:3" x14ac:dyDescent="0.25">
      <c r="C597" s="37"/>
    </row>
    <row r="598" spans="3:3" x14ac:dyDescent="0.25">
      <c r="C598" s="37"/>
    </row>
    <row r="599" spans="3:3" x14ac:dyDescent="0.25">
      <c r="C599" s="37"/>
    </row>
    <row r="600" spans="3:3" x14ac:dyDescent="0.25">
      <c r="C600" s="37"/>
    </row>
    <row r="601" spans="3:3" x14ac:dyDescent="0.25">
      <c r="C601" s="37"/>
    </row>
    <row r="602" spans="3:3" x14ac:dyDescent="0.25">
      <c r="C602" s="37"/>
    </row>
    <row r="603" spans="3:3" x14ac:dyDescent="0.25">
      <c r="C603" s="37"/>
    </row>
    <row r="604" spans="3:3" x14ac:dyDescent="0.25">
      <c r="C604" s="37"/>
    </row>
    <row r="605" spans="3:3" x14ac:dyDescent="0.25">
      <c r="C605" s="37"/>
    </row>
    <row r="606" spans="3:3" x14ac:dyDescent="0.25">
      <c r="C606" s="37"/>
    </row>
    <row r="607" spans="3:3" x14ac:dyDescent="0.25">
      <c r="C607" s="37"/>
    </row>
    <row r="608" spans="3:3" x14ac:dyDescent="0.25">
      <c r="C608" s="37"/>
    </row>
    <row r="609" spans="3:3" x14ac:dyDescent="0.25">
      <c r="C609" s="37"/>
    </row>
    <row r="610" spans="3:3" x14ac:dyDescent="0.25">
      <c r="C610" s="37"/>
    </row>
    <row r="611" spans="3:3" x14ac:dyDescent="0.25">
      <c r="C611" s="37"/>
    </row>
    <row r="612" spans="3:3" x14ac:dyDescent="0.25">
      <c r="C612" s="37"/>
    </row>
    <row r="613" spans="3:3" x14ac:dyDescent="0.25">
      <c r="C613" s="37"/>
    </row>
    <row r="614" spans="3:3" x14ac:dyDescent="0.25">
      <c r="C614" s="37"/>
    </row>
    <row r="615" spans="3:3" x14ac:dyDescent="0.25">
      <c r="C615" s="37"/>
    </row>
    <row r="616" spans="3:3" x14ac:dyDescent="0.25">
      <c r="C616" s="37"/>
    </row>
    <row r="617" spans="3:3" x14ac:dyDescent="0.25">
      <c r="C617" s="37"/>
    </row>
    <row r="618" spans="3:3" x14ac:dyDescent="0.25">
      <c r="C618" s="37"/>
    </row>
    <row r="619" spans="3:3" x14ac:dyDescent="0.25">
      <c r="C619" s="37"/>
    </row>
    <row r="620" spans="3:3" x14ac:dyDescent="0.25">
      <c r="C620" s="37"/>
    </row>
    <row r="621" spans="3:3" x14ac:dyDescent="0.25">
      <c r="C621" s="37"/>
    </row>
    <row r="622" spans="3:3" x14ac:dyDescent="0.25">
      <c r="C622" s="37"/>
    </row>
    <row r="623" spans="3:3" x14ac:dyDescent="0.25">
      <c r="C623" s="37"/>
    </row>
    <row r="624" spans="3:3" x14ac:dyDescent="0.25">
      <c r="C624" s="37"/>
    </row>
    <row r="625" spans="3:3" x14ac:dyDescent="0.25">
      <c r="C625" s="37"/>
    </row>
    <row r="626" spans="3:3" x14ac:dyDescent="0.25">
      <c r="C626" s="37"/>
    </row>
    <row r="627" spans="3:3" x14ac:dyDescent="0.25">
      <c r="C627" s="37"/>
    </row>
    <row r="628" spans="3:3" x14ac:dyDescent="0.25">
      <c r="C628" s="37"/>
    </row>
    <row r="629" spans="3:3" x14ac:dyDescent="0.25">
      <c r="C629" s="37"/>
    </row>
    <row r="630" spans="3:3" x14ac:dyDescent="0.25">
      <c r="C630" s="37"/>
    </row>
    <row r="631" spans="3:3" x14ac:dyDescent="0.25">
      <c r="C631" s="37"/>
    </row>
    <row r="632" spans="3:3" x14ac:dyDescent="0.25">
      <c r="C632" s="37"/>
    </row>
    <row r="633" spans="3:3" x14ac:dyDescent="0.25">
      <c r="C633" s="37"/>
    </row>
    <row r="634" spans="3:3" x14ac:dyDescent="0.25">
      <c r="C634" s="37"/>
    </row>
    <row r="635" spans="3:3" x14ac:dyDescent="0.25">
      <c r="C635" s="37"/>
    </row>
    <row r="636" spans="3:3" x14ac:dyDescent="0.25">
      <c r="C636" s="37"/>
    </row>
    <row r="637" spans="3:3" x14ac:dyDescent="0.25">
      <c r="C637" s="37"/>
    </row>
    <row r="638" spans="3:3" x14ac:dyDescent="0.25">
      <c r="C638" s="37"/>
    </row>
    <row r="639" spans="3:3" x14ac:dyDescent="0.25">
      <c r="C639" s="37"/>
    </row>
    <row r="640" spans="3:3" x14ac:dyDescent="0.25">
      <c r="C640" s="37"/>
    </row>
    <row r="641" spans="3:3" x14ac:dyDescent="0.25">
      <c r="C641" s="37"/>
    </row>
    <row r="642" spans="3:3" x14ac:dyDescent="0.25">
      <c r="C642" s="37"/>
    </row>
    <row r="643" spans="3:3" x14ac:dyDescent="0.25">
      <c r="C643" s="37"/>
    </row>
    <row r="644" spans="3:3" x14ac:dyDescent="0.25">
      <c r="C644" s="37"/>
    </row>
    <row r="645" spans="3:3" x14ac:dyDescent="0.25">
      <c r="C645" s="37"/>
    </row>
    <row r="646" spans="3:3" x14ac:dyDescent="0.25">
      <c r="C646" s="37"/>
    </row>
    <row r="647" spans="3:3" x14ac:dyDescent="0.25">
      <c r="C647" s="37"/>
    </row>
    <row r="648" spans="3:3" x14ac:dyDescent="0.25">
      <c r="C648" s="37"/>
    </row>
    <row r="649" spans="3:3" x14ac:dyDescent="0.25">
      <c r="C649" s="37"/>
    </row>
    <row r="650" spans="3:3" x14ac:dyDescent="0.25">
      <c r="C650" s="37"/>
    </row>
    <row r="651" spans="3:3" x14ac:dyDescent="0.25">
      <c r="C651" s="37"/>
    </row>
    <row r="652" spans="3:3" x14ac:dyDescent="0.25">
      <c r="C652" s="37"/>
    </row>
    <row r="653" spans="3:3" x14ac:dyDescent="0.25">
      <c r="C653" s="37"/>
    </row>
    <row r="654" spans="3:3" x14ac:dyDescent="0.25">
      <c r="C654" s="37"/>
    </row>
    <row r="655" spans="3:3" x14ac:dyDescent="0.25">
      <c r="C655" s="37"/>
    </row>
    <row r="656" spans="3:3" x14ac:dyDescent="0.25">
      <c r="C656" s="37"/>
    </row>
    <row r="657" spans="3:3" x14ac:dyDescent="0.25">
      <c r="C657" s="37"/>
    </row>
    <row r="658" spans="3:3" x14ac:dyDescent="0.25">
      <c r="C658" s="37"/>
    </row>
    <row r="659" spans="3:3" x14ac:dyDescent="0.25">
      <c r="C659" s="37"/>
    </row>
    <row r="660" spans="3:3" x14ac:dyDescent="0.25">
      <c r="C660" s="37"/>
    </row>
    <row r="661" spans="3:3" x14ac:dyDescent="0.25">
      <c r="C661" s="37"/>
    </row>
    <row r="662" spans="3:3" x14ac:dyDescent="0.25">
      <c r="C662" s="37"/>
    </row>
    <row r="663" spans="3:3" x14ac:dyDescent="0.25">
      <c r="C663" s="37"/>
    </row>
    <row r="664" spans="3:3" x14ac:dyDescent="0.25">
      <c r="C664" s="37"/>
    </row>
    <row r="665" spans="3:3" x14ac:dyDescent="0.25">
      <c r="C665" s="37"/>
    </row>
    <row r="666" spans="3:3" x14ac:dyDescent="0.25">
      <c r="C666" s="37"/>
    </row>
    <row r="667" spans="3:3" x14ac:dyDescent="0.25">
      <c r="C667" s="37"/>
    </row>
    <row r="668" spans="3:3" x14ac:dyDescent="0.25">
      <c r="C668" s="37"/>
    </row>
    <row r="669" spans="3:3" x14ac:dyDescent="0.25">
      <c r="C669" s="37"/>
    </row>
    <row r="670" spans="3:3" x14ac:dyDescent="0.25">
      <c r="C670" s="37"/>
    </row>
    <row r="671" spans="3:3" x14ac:dyDescent="0.25">
      <c r="C671" s="37"/>
    </row>
    <row r="672" spans="3:3" x14ac:dyDescent="0.25">
      <c r="C672" s="37"/>
    </row>
    <row r="673" spans="3:3" x14ac:dyDescent="0.25">
      <c r="C673" s="37"/>
    </row>
    <row r="674" spans="3:3" x14ac:dyDescent="0.25">
      <c r="C674" s="37"/>
    </row>
    <row r="675" spans="3:3" x14ac:dyDescent="0.25">
      <c r="C675" s="37"/>
    </row>
    <row r="676" spans="3:3" x14ac:dyDescent="0.25">
      <c r="C676" s="37"/>
    </row>
    <row r="677" spans="3:3" x14ac:dyDescent="0.25">
      <c r="C677" s="37"/>
    </row>
    <row r="678" spans="3:3" x14ac:dyDescent="0.25">
      <c r="C678" s="37"/>
    </row>
    <row r="679" spans="3:3" x14ac:dyDescent="0.25">
      <c r="C679" s="37"/>
    </row>
    <row r="680" spans="3:3" x14ac:dyDescent="0.25">
      <c r="C680" s="37"/>
    </row>
    <row r="681" spans="3:3" x14ac:dyDescent="0.25">
      <c r="C681" s="37"/>
    </row>
    <row r="682" spans="3:3" x14ac:dyDescent="0.25">
      <c r="C682" s="37"/>
    </row>
    <row r="683" spans="3:3" x14ac:dyDescent="0.25">
      <c r="C683" s="37"/>
    </row>
    <row r="684" spans="3:3" x14ac:dyDescent="0.25">
      <c r="C684" s="37"/>
    </row>
    <row r="685" spans="3:3" x14ac:dyDescent="0.25">
      <c r="C685" s="37"/>
    </row>
    <row r="686" spans="3:3" x14ac:dyDescent="0.25">
      <c r="C686" s="37"/>
    </row>
    <row r="687" spans="3:3" x14ac:dyDescent="0.25">
      <c r="C687" s="37"/>
    </row>
    <row r="688" spans="3:3" x14ac:dyDescent="0.25">
      <c r="C688" s="37"/>
    </row>
    <row r="689" spans="3:3" x14ac:dyDescent="0.25">
      <c r="C689" s="37"/>
    </row>
    <row r="690" spans="3:3" x14ac:dyDescent="0.25">
      <c r="C690" s="37"/>
    </row>
    <row r="691" spans="3:3" x14ac:dyDescent="0.25">
      <c r="C691" s="37"/>
    </row>
    <row r="692" spans="3:3" x14ac:dyDescent="0.25">
      <c r="C692" s="37"/>
    </row>
    <row r="693" spans="3:3" x14ac:dyDescent="0.25">
      <c r="C693" s="37"/>
    </row>
    <row r="694" spans="3:3" x14ac:dyDescent="0.25">
      <c r="C694" s="37"/>
    </row>
    <row r="695" spans="3:3" x14ac:dyDescent="0.25">
      <c r="C695" s="37"/>
    </row>
    <row r="696" spans="3:3" x14ac:dyDescent="0.25">
      <c r="C696" s="37"/>
    </row>
    <row r="697" spans="3:3" x14ac:dyDescent="0.25">
      <c r="C697" s="37"/>
    </row>
    <row r="698" spans="3:3" x14ac:dyDescent="0.25">
      <c r="C698" s="37"/>
    </row>
    <row r="699" spans="3:3" x14ac:dyDescent="0.25">
      <c r="C699" s="37"/>
    </row>
    <row r="700" spans="3:3" x14ac:dyDescent="0.25">
      <c r="C700" s="37"/>
    </row>
    <row r="701" spans="3:3" x14ac:dyDescent="0.25">
      <c r="C701" s="37"/>
    </row>
    <row r="702" spans="3:3" x14ac:dyDescent="0.25">
      <c r="C702" s="37"/>
    </row>
    <row r="703" spans="3:3" x14ac:dyDescent="0.25">
      <c r="C703" s="37"/>
    </row>
    <row r="704" spans="3:3" x14ac:dyDescent="0.25">
      <c r="C704" s="37"/>
    </row>
    <row r="705" spans="3:3" x14ac:dyDescent="0.25">
      <c r="C705" s="37"/>
    </row>
    <row r="706" spans="3:3" x14ac:dyDescent="0.25">
      <c r="C706" s="37"/>
    </row>
    <row r="707" spans="3:3" x14ac:dyDescent="0.25">
      <c r="C707" s="37"/>
    </row>
    <row r="708" spans="3:3" x14ac:dyDescent="0.25">
      <c r="C708" s="37"/>
    </row>
    <row r="709" spans="3:3" x14ac:dyDescent="0.25">
      <c r="C709" s="37"/>
    </row>
    <row r="710" spans="3:3" x14ac:dyDescent="0.25">
      <c r="C710" s="37"/>
    </row>
    <row r="711" spans="3:3" x14ac:dyDescent="0.25">
      <c r="C711" s="37"/>
    </row>
    <row r="712" spans="3:3" x14ac:dyDescent="0.25">
      <c r="C712" s="37"/>
    </row>
    <row r="713" spans="3:3" x14ac:dyDescent="0.25">
      <c r="C713" s="37"/>
    </row>
    <row r="714" spans="3:3" x14ac:dyDescent="0.25">
      <c r="C714" s="37"/>
    </row>
    <row r="715" spans="3:3" x14ac:dyDescent="0.25">
      <c r="C715" s="37"/>
    </row>
    <row r="716" spans="3:3" x14ac:dyDescent="0.25">
      <c r="C716" s="37"/>
    </row>
    <row r="717" spans="3:3" x14ac:dyDescent="0.25">
      <c r="C717" s="37"/>
    </row>
    <row r="718" spans="3:3" x14ac:dyDescent="0.25">
      <c r="C718" s="37"/>
    </row>
    <row r="719" spans="3:3" x14ac:dyDescent="0.25">
      <c r="C719" s="37"/>
    </row>
    <row r="720" spans="3:3" x14ac:dyDescent="0.25">
      <c r="C720" s="37"/>
    </row>
    <row r="721" spans="3:3" x14ac:dyDescent="0.25">
      <c r="C721" s="37"/>
    </row>
    <row r="722" spans="3:3" x14ac:dyDescent="0.25">
      <c r="C722" s="37"/>
    </row>
    <row r="723" spans="3:3" x14ac:dyDescent="0.25">
      <c r="C723" s="37"/>
    </row>
    <row r="724" spans="3:3" x14ac:dyDescent="0.25">
      <c r="C724" s="37"/>
    </row>
    <row r="725" spans="3:3" x14ac:dyDescent="0.25">
      <c r="C725" s="37"/>
    </row>
    <row r="726" spans="3:3" x14ac:dyDescent="0.25">
      <c r="C726" s="37"/>
    </row>
    <row r="727" spans="3:3" x14ac:dyDescent="0.25">
      <c r="C727" s="37"/>
    </row>
    <row r="728" spans="3:3" x14ac:dyDescent="0.25">
      <c r="C728" s="37"/>
    </row>
    <row r="729" spans="3:3" x14ac:dyDescent="0.25">
      <c r="C729" s="37"/>
    </row>
    <row r="730" spans="3:3" x14ac:dyDescent="0.25">
      <c r="C730" s="37"/>
    </row>
    <row r="731" spans="3:3" x14ac:dyDescent="0.25">
      <c r="C731" s="37"/>
    </row>
    <row r="732" spans="3:3" x14ac:dyDescent="0.25">
      <c r="C732" s="37"/>
    </row>
    <row r="733" spans="3:3" x14ac:dyDescent="0.25">
      <c r="C733" s="37"/>
    </row>
    <row r="734" spans="3:3" x14ac:dyDescent="0.25">
      <c r="C734" s="37"/>
    </row>
    <row r="735" spans="3:3" x14ac:dyDescent="0.25">
      <c r="C735" s="37"/>
    </row>
    <row r="736" spans="3:3" x14ac:dyDescent="0.25">
      <c r="C736" s="37"/>
    </row>
    <row r="737" spans="3:3" x14ac:dyDescent="0.25">
      <c r="C737" s="37"/>
    </row>
    <row r="738" spans="3:3" x14ac:dyDescent="0.25">
      <c r="C738" s="37"/>
    </row>
    <row r="739" spans="3:3" x14ac:dyDescent="0.25">
      <c r="C739" s="37"/>
    </row>
    <row r="740" spans="3:3" x14ac:dyDescent="0.25">
      <c r="C740" s="37"/>
    </row>
    <row r="741" spans="3:3" x14ac:dyDescent="0.25">
      <c r="C741" s="37"/>
    </row>
    <row r="742" spans="3:3" x14ac:dyDescent="0.25">
      <c r="C742" s="37"/>
    </row>
    <row r="743" spans="3:3" x14ac:dyDescent="0.25">
      <c r="C743" s="37"/>
    </row>
    <row r="744" spans="3:3" x14ac:dyDescent="0.25">
      <c r="C744" s="37"/>
    </row>
    <row r="745" spans="3:3" x14ac:dyDescent="0.25">
      <c r="C745" s="37"/>
    </row>
    <row r="746" spans="3:3" x14ac:dyDescent="0.25">
      <c r="C746" s="37"/>
    </row>
    <row r="747" spans="3:3" x14ac:dyDescent="0.25">
      <c r="C747" s="37"/>
    </row>
    <row r="748" spans="3:3" x14ac:dyDescent="0.25">
      <c r="C748" s="37"/>
    </row>
    <row r="749" spans="3:3" x14ac:dyDescent="0.25">
      <c r="C749" s="37"/>
    </row>
    <row r="750" spans="3:3" x14ac:dyDescent="0.25">
      <c r="C750" s="37"/>
    </row>
    <row r="751" spans="3:3" x14ac:dyDescent="0.25">
      <c r="C751" s="37"/>
    </row>
    <row r="752" spans="3:3" x14ac:dyDescent="0.25">
      <c r="C752" s="37"/>
    </row>
    <row r="753" spans="3:3" x14ac:dyDescent="0.25">
      <c r="C753" s="37"/>
    </row>
    <row r="754" spans="3:3" x14ac:dyDescent="0.25">
      <c r="C754" s="37"/>
    </row>
    <row r="755" spans="3:3" x14ac:dyDescent="0.25">
      <c r="C755" s="37"/>
    </row>
    <row r="756" spans="3:3" x14ac:dyDescent="0.25">
      <c r="C756" s="37"/>
    </row>
    <row r="757" spans="3:3" x14ac:dyDescent="0.25">
      <c r="C757" s="37"/>
    </row>
    <row r="758" spans="3:3" x14ac:dyDescent="0.25">
      <c r="C758" s="37"/>
    </row>
    <row r="759" spans="3:3" x14ac:dyDescent="0.25">
      <c r="C759" s="37"/>
    </row>
    <row r="760" spans="3:3" x14ac:dyDescent="0.25">
      <c r="C760" s="37"/>
    </row>
    <row r="761" spans="3:3" x14ac:dyDescent="0.25">
      <c r="C761" s="37"/>
    </row>
    <row r="762" spans="3:3" x14ac:dyDescent="0.25">
      <c r="C762" s="37"/>
    </row>
    <row r="763" spans="3:3" x14ac:dyDescent="0.25">
      <c r="C763" s="37"/>
    </row>
    <row r="764" spans="3:3" x14ac:dyDescent="0.25">
      <c r="C764" s="37"/>
    </row>
    <row r="765" spans="3:3" x14ac:dyDescent="0.25">
      <c r="C765" s="37"/>
    </row>
    <row r="766" spans="3:3" x14ac:dyDescent="0.25">
      <c r="C766" s="37"/>
    </row>
    <row r="767" spans="3:3" x14ac:dyDescent="0.25">
      <c r="C767" s="37"/>
    </row>
    <row r="768" spans="3:3" x14ac:dyDescent="0.25">
      <c r="C768" s="37"/>
    </row>
    <row r="769" spans="3:3" x14ac:dyDescent="0.25">
      <c r="C769" s="37"/>
    </row>
    <row r="770" spans="3:3" x14ac:dyDescent="0.25">
      <c r="C770" s="37"/>
    </row>
    <row r="771" spans="3:3" x14ac:dyDescent="0.25">
      <c r="C771" s="37"/>
    </row>
    <row r="772" spans="3:3" x14ac:dyDescent="0.25">
      <c r="C772" s="37"/>
    </row>
    <row r="773" spans="3:3" x14ac:dyDescent="0.25">
      <c r="C773" s="37"/>
    </row>
    <row r="774" spans="3:3" x14ac:dyDescent="0.25">
      <c r="C774" s="37"/>
    </row>
    <row r="775" spans="3:3" x14ac:dyDescent="0.25">
      <c r="C775" s="37"/>
    </row>
    <row r="776" spans="3:3" x14ac:dyDescent="0.25">
      <c r="C776" s="37"/>
    </row>
    <row r="777" spans="3:3" x14ac:dyDescent="0.25">
      <c r="C777" s="37"/>
    </row>
    <row r="778" spans="3:3" x14ac:dyDescent="0.25">
      <c r="C778" s="37"/>
    </row>
    <row r="779" spans="3:3" x14ac:dyDescent="0.25">
      <c r="C779" s="37"/>
    </row>
    <row r="780" spans="3:3" x14ac:dyDescent="0.25">
      <c r="C780" s="37"/>
    </row>
    <row r="781" spans="3:3" x14ac:dyDescent="0.25">
      <c r="C781" s="37"/>
    </row>
    <row r="782" spans="3:3" x14ac:dyDescent="0.25">
      <c r="C782" s="37"/>
    </row>
    <row r="783" spans="3:3" x14ac:dyDescent="0.25">
      <c r="C783" s="37"/>
    </row>
    <row r="784" spans="3:3" x14ac:dyDescent="0.25">
      <c r="C784" s="37"/>
    </row>
    <row r="785" spans="3:3" x14ac:dyDescent="0.25">
      <c r="C785" s="37"/>
    </row>
    <row r="786" spans="3:3" x14ac:dyDescent="0.25">
      <c r="C786" s="37"/>
    </row>
    <row r="787" spans="3:3" x14ac:dyDescent="0.25">
      <c r="C787" s="37"/>
    </row>
    <row r="788" spans="3:3" x14ac:dyDescent="0.25">
      <c r="C788" s="37"/>
    </row>
    <row r="789" spans="3:3" x14ac:dyDescent="0.25">
      <c r="C789" s="37"/>
    </row>
    <row r="790" spans="3:3" x14ac:dyDescent="0.25">
      <c r="C790" s="37"/>
    </row>
    <row r="791" spans="3:3" x14ac:dyDescent="0.25">
      <c r="C791" s="37"/>
    </row>
    <row r="792" spans="3:3" x14ac:dyDescent="0.25">
      <c r="C792" s="37"/>
    </row>
    <row r="793" spans="3:3" x14ac:dyDescent="0.25">
      <c r="C793" s="37"/>
    </row>
    <row r="794" spans="3:3" x14ac:dyDescent="0.25">
      <c r="C794" s="37"/>
    </row>
    <row r="795" spans="3:3" x14ac:dyDescent="0.25">
      <c r="C795" s="37"/>
    </row>
    <row r="796" spans="3:3" x14ac:dyDescent="0.25">
      <c r="C796" s="37"/>
    </row>
    <row r="797" spans="3:3" x14ac:dyDescent="0.25">
      <c r="C797" s="37"/>
    </row>
    <row r="798" spans="3:3" x14ac:dyDescent="0.25">
      <c r="C798" s="37"/>
    </row>
    <row r="799" spans="3:3" x14ac:dyDescent="0.25">
      <c r="C799" s="37"/>
    </row>
    <row r="800" spans="3:3" x14ac:dyDescent="0.25">
      <c r="C800" s="37"/>
    </row>
    <row r="801" spans="3:3" x14ac:dyDescent="0.25">
      <c r="C801" s="37"/>
    </row>
    <row r="802" spans="3:3" x14ac:dyDescent="0.25">
      <c r="C802" s="37"/>
    </row>
    <row r="803" spans="3:3" x14ac:dyDescent="0.25">
      <c r="C803" s="37"/>
    </row>
    <row r="804" spans="3:3" x14ac:dyDescent="0.25">
      <c r="C804" s="37"/>
    </row>
    <row r="805" spans="3:3" x14ac:dyDescent="0.25">
      <c r="C805" s="37"/>
    </row>
    <row r="806" spans="3:3" x14ac:dyDescent="0.25">
      <c r="C806" s="37"/>
    </row>
    <row r="807" spans="3:3" x14ac:dyDescent="0.25">
      <c r="C807" s="37"/>
    </row>
    <row r="808" spans="3:3" x14ac:dyDescent="0.25">
      <c r="C808" s="37"/>
    </row>
    <row r="809" spans="3:3" x14ac:dyDescent="0.25">
      <c r="C809" s="37"/>
    </row>
    <row r="810" spans="3:3" x14ac:dyDescent="0.25">
      <c r="C810" s="37"/>
    </row>
    <row r="811" spans="3:3" x14ac:dyDescent="0.25">
      <c r="C811" s="37"/>
    </row>
    <row r="812" spans="3:3" x14ac:dyDescent="0.25">
      <c r="C812" s="37"/>
    </row>
    <row r="813" spans="3:3" x14ac:dyDescent="0.25">
      <c r="C813" s="37"/>
    </row>
    <row r="814" spans="3:3" x14ac:dyDescent="0.25">
      <c r="C814" s="37"/>
    </row>
    <row r="815" spans="3:3" x14ac:dyDescent="0.25">
      <c r="C815" s="37"/>
    </row>
    <row r="816" spans="3:3" x14ac:dyDescent="0.25">
      <c r="C816" s="37"/>
    </row>
    <row r="817" spans="3:3" x14ac:dyDescent="0.25">
      <c r="C817" s="37"/>
    </row>
    <row r="818" spans="3:3" x14ac:dyDescent="0.25">
      <c r="C818" s="37"/>
    </row>
    <row r="819" spans="3:3" x14ac:dyDescent="0.25">
      <c r="C819" s="37"/>
    </row>
    <row r="820" spans="3:3" x14ac:dyDescent="0.25">
      <c r="C820" s="37"/>
    </row>
    <row r="821" spans="3:3" x14ac:dyDescent="0.25">
      <c r="C821" s="37"/>
    </row>
    <row r="822" spans="3:3" x14ac:dyDescent="0.25">
      <c r="C822" s="37"/>
    </row>
    <row r="823" spans="3:3" x14ac:dyDescent="0.25">
      <c r="C823" s="37"/>
    </row>
    <row r="824" spans="3:3" x14ac:dyDescent="0.25">
      <c r="C824" s="37"/>
    </row>
    <row r="825" spans="3:3" x14ac:dyDescent="0.25">
      <c r="C825" s="37"/>
    </row>
    <row r="826" spans="3:3" x14ac:dyDescent="0.25">
      <c r="C826" s="37"/>
    </row>
    <row r="827" spans="3:3" x14ac:dyDescent="0.25">
      <c r="C827" s="37"/>
    </row>
    <row r="828" spans="3:3" x14ac:dyDescent="0.25">
      <c r="C828" s="37"/>
    </row>
    <row r="829" spans="3:3" x14ac:dyDescent="0.25">
      <c r="C829" s="37"/>
    </row>
    <row r="830" spans="3:3" x14ac:dyDescent="0.25">
      <c r="C830" s="37"/>
    </row>
    <row r="831" spans="3:3" x14ac:dyDescent="0.25">
      <c r="C831" s="37"/>
    </row>
    <row r="832" spans="3:3" x14ac:dyDescent="0.25">
      <c r="C832" s="37"/>
    </row>
    <row r="833" spans="3:3" x14ac:dyDescent="0.25">
      <c r="C833" s="37"/>
    </row>
    <row r="834" spans="3:3" x14ac:dyDescent="0.25">
      <c r="C834" s="37"/>
    </row>
    <row r="835" spans="3:3" x14ac:dyDescent="0.25">
      <c r="C835" s="37"/>
    </row>
    <row r="836" spans="3:3" x14ac:dyDescent="0.25">
      <c r="C836" s="37"/>
    </row>
    <row r="837" spans="3:3" x14ac:dyDescent="0.25">
      <c r="C837" s="37"/>
    </row>
    <row r="838" spans="3:3" x14ac:dyDescent="0.25">
      <c r="C838" s="37"/>
    </row>
    <row r="839" spans="3:3" x14ac:dyDescent="0.25">
      <c r="C839" s="37"/>
    </row>
    <row r="840" spans="3:3" x14ac:dyDescent="0.25">
      <c r="C840" s="37"/>
    </row>
    <row r="841" spans="3:3" x14ac:dyDescent="0.25">
      <c r="C841" s="37"/>
    </row>
    <row r="842" spans="3:3" x14ac:dyDescent="0.25">
      <c r="C842" s="37"/>
    </row>
    <row r="843" spans="3:3" x14ac:dyDescent="0.25">
      <c r="C843" s="37"/>
    </row>
    <row r="844" spans="3:3" x14ac:dyDescent="0.25">
      <c r="C844" s="37"/>
    </row>
    <row r="845" spans="3:3" x14ac:dyDescent="0.25">
      <c r="C845" s="37"/>
    </row>
    <row r="846" spans="3:3" x14ac:dyDescent="0.25">
      <c r="C846" s="37"/>
    </row>
    <row r="847" spans="3:3" x14ac:dyDescent="0.25">
      <c r="C847" s="37"/>
    </row>
    <row r="848" spans="3:3" x14ac:dyDescent="0.25">
      <c r="C848" s="37"/>
    </row>
    <row r="849" spans="3:3" x14ac:dyDescent="0.25">
      <c r="C849" s="37"/>
    </row>
    <row r="850" spans="3:3" x14ac:dyDescent="0.25">
      <c r="C850" s="37"/>
    </row>
    <row r="851" spans="3:3" x14ac:dyDescent="0.25">
      <c r="C851" s="37"/>
    </row>
    <row r="852" spans="3:3" x14ac:dyDescent="0.25">
      <c r="C852" s="37"/>
    </row>
    <row r="853" spans="3:3" x14ac:dyDescent="0.25">
      <c r="C853" s="37"/>
    </row>
    <row r="854" spans="3:3" x14ac:dyDescent="0.25">
      <c r="C854" s="37"/>
    </row>
    <row r="855" spans="3:3" x14ac:dyDescent="0.25">
      <c r="C855" s="37"/>
    </row>
    <row r="856" spans="3:3" x14ac:dyDescent="0.25">
      <c r="C856" s="37"/>
    </row>
    <row r="857" spans="3:3" x14ac:dyDescent="0.25">
      <c r="C857" s="37"/>
    </row>
    <row r="858" spans="3:3" x14ac:dyDescent="0.25">
      <c r="C858" s="37"/>
    </row>
    <row r="859" spans="3:3" x14ac:dyDescent="0.25">
      <c r="C859" s="37"/>
    </row>
    <row r="860" spans="3:3" x14ac:dyDescent="0.25">
      <c r="C860" s="37"/>
    </row>
    <row r="861" spans="3:3" x14ac:dyDescent="0.25">
      <c r="C861" s="37"/>
    </row>
    <row r="862" spans="3:3" x14ac:dyDescent="0.25">
      <c r="C862" s="37"/>
    </row>
    <row r="863" spans="3:3" x14ac:dyDescent="0.25">
      <c r="C863" s="37"/>
    </row>
    <row r="864" spans="3:3" x14ac:dyDescent="0.25">
      <c r="C864" s="37"/>
    </row>
    <row r="865" spans="3:3" x14ac:dyDescent="0.25">
      <c r="C865" s="37"/>
    </row>
    <row r="866" spans="3:3" x14ac:dyDescent="0.25">
      <c r="C866" s="37"/>
    </row>
    <row r="867" spans="3:3" x14ac:dyDescent="0.25">
      <c r="C867" s="37"/>
    </row>
    <row r="868" spans="3:3" x14ac:dyDescent="0.25">
      <c r="C868" s="37"/>
    </row>
    <row r="869" spans="3:3" x14ac:dyDescent="0.25">
      <c r="C869" s="37"/>
    </row>
    <row r="870" spans="3:3" x14ac:dyDescent="0.25">
      <c r="C870" s="37"/>
    </row>
    <row r="871" spans="3:3" x14ac:dyDescent="0.25">
      <c r="C871" s="37"/>
    </row>
    <row r="872" spans="3:3" x14ac:dyDescent="0.25">
      <c r="C872" s="37"/>
    </row>
    <row r="873" spans="3:3" x14ac:dyDescent="0.25">
      <c r="C873" s="37"/>
    </row>
    <row r="874" spans="3:3" x14ac:dyDescent="0.25">
      <c r="C874" s="37"/>
    </row>
    <row r="875" spans="3:3" x14ac:dyDescent="0.25">
      <c r="C875" s="37"/>
    </row>
    <row r="876" spans="3:3" x14ac:dyDescent="0.25">
      <c r="C876" s="37"/>
    </row>
    <row r="877" spans="3:3" x14ac:dyDescent="0.25">
      <c r="C877" s="37"/>
    </row>
    <row r="878" spans="3:3" x14ac:dyDescent="0.25">
      <c r="C878" s="37"/>
    </row>
    <row r="879" spans="3:3" x14ac:dyDescent="0.25">
      <c r="C879" s="37"/>
    </row>
    <row r="880" spans="3:3" x14ac:dyDescent="0.25">
      <c r="C880" s="37"/>
    </row>
    <row r="881" spans="3:3" x14ac:dyDescent="0.25">
      <c r="C881" s="37"/>
    </row>
    <row r="882" spans="3:3" x14ac:dyDescent="0.25">
      <c r="C882" s="37"/>
    </row>
    <row r="883" spans="3:3" x14ac:dyDescent="0.25">
      <c r="C883" s="37"/>
    </row>
    <row r="884" spans="3:3" x14ac:dyDescent="0.25">
      <c r="C884" s="37"/>
    </row>
    <row r="885" spans="3:3" x14ac:dyDescent="0.25">
      <c r="C885" s="37"/>
    </row>
    <row r="886" spans="3:3" x14ac:dyDescent="0.25">
      <c r="C886" s="37"/>
    </row>
    <row r="887" spans="3:3" x14ac:dyDescent="0.25">
      <c r="C887" s="37"/>
    </row>
    <row r="888" spans="3:3" x14ac:dyDescent="0.25">
      <c r="C888" s="37"/>
    </row>
    <row r="889" spans="3:3" x14ac:dyDescent="0.25">
      <c r="C889" s="37"/>
    </row>
    <row r="890" spans="3:3" x14ac:dyDescent="0.25">
      <c r="C890" s="37"/>
    </row>
    <row r="891" spans="3:3" x14ac:dyDescent="0.25">
      <c r="C891" s="37"/>
    </row>
    <row r="892" spans="3:3" x14ac:dyDescent="0.25">
      <c r="C892" s="37"/>
    </row>
    <row r="893" spans="3:3" x14ac:dyDescent="0.25">
      <c r="C893" s="37"/>
    </row>
    <row r="894" spans="3:3" x14ac:dyDescent="0.25">
      <c r="C894" s="37"/>
    </row>
    <row r="895" spans="3:3" x14ac:dyDescent="0.25">
      <c r="C895" s="37"/>
    </row>
    <row r="896" spans="3:3" x14ac:dyDescent="0.25">
      <c r="C896" s="37"/>
    </row>
    <row r="897" spans="3:3" x14ac:dyDescent="0.25">
      <c r="C897" s="37"/>
    </row>
    <row r="898" spans="3:3" x14ac:dyDescent="0.25">
      <c r="C898" s="37"/>
    </row>
    <row r="899" spans="3:3" x14ac:dyDescent="0.25">
      <c r="C899" s="37"/>
    </row>
    <row r="900" spans="3:3" x14ac:dyDescent="0.25">
      <c r="C900" s="37"/>
    </row>
    <row r="901" spans="3:3" x14ac:dyDescent="0.25">
      <c r="C901" s="37"/>
    </row>
    <row r="902" spans="3:3" x14ac:dyDescent="0.25">
      <c r="C902" s="37"/>
    </row>
    <row r="903" spans="3:3" x14ac:dyDescent="0.25">
      <c r="C903" s="37"/>
    </row>
    <row r="904" spans="3:3" x14ac:dyDescent="0.25">
      <c r="C904" s="37"/>
    </row>
    <row r="905" spans="3:3" x14ac:dyDescent="0.25">
      <c r="C905" s="37"/>
    </row>
    <row r="906" spans="3:3" x14ac:dyDescent="0.25">
      <c r="C906" s="37"/>
    </row>
    <row r="907" spans="3:3" x14ac:dyDescent="0.25">
      <c r="C907" s="37"/>
    </row>
    <row r="908" spans="3:3" x14ac:dyDescent="0.25">
      <c r="C908" s="37"/>
    </row>
    <row r="909" spans="3:3" x14ac:dyDescent="0.25">
      <c r="C909" s="37"/>
    </row>
    <row r="910" spans="3:3" x14ac:dyDescent="0.25">
      <c r="C910" s="37"/>
    </row>
    <row r="911" spans="3:3" x14ac:dyDescent="0.25">
      <c r="C911" s="37"/>
    </row>
    <row r="912" spans="3:3" x14ac:dyDescent="0.25">
      <c r="C912" s="37"/>
    </row>
    <row r="913" spans="3:3" x14ac:dyDescent="0.25">
      <c r="C913" s="37"/>
    </row>
    <row r="914" spans="3:3" x14ac:dyDescent="0.25">
      <c r="C914" s="37"/>
    </row>
    <row r="915" spans="3:3" x14ac:dyDescent="0.25">
      <c r="C915" s="37"/>
    </row>
    <row r="916" spans="3:3" x14ac:dyDescent="0.25">
      <c r="C916" s="37"/>
    </row>
    <row r="917" spans="3:3" x14ac:dyDescent="0.25">
      <c r="C917" s="37"/>
    </row>
    <row r="918" spans="3:3" x14ac:dyDescent="0.25">
      <c r="C918" s="37"/>
    </row>
    <row r="919" spans="3:3" x14ac:dyDescent="0.25">
      <c r="C919" s="37"/>
    </row>
    <row r="920" spans="3:3" x14ac:dyDescent="0.25">
      <c r="C920" s="37"/>
    </row>
    <row r="921" spans="3:3" x14ac:dyDescent="0.25">
      <c r="C921" s="37"/>
    </row>
    <row r="922" spans="3:3" x14ac:dyDescent="0.25">
      <c r="C922" s="37"/>
    </row>
    <row r="923" spans="3:3" x14ac:dyDescent="0.25">
      <c r="C923" s="37"/>
    </row>
    <row r="924" spans="3:3" x14ac:dyDescent="0.25">
      <c r="C924" s="37"/>
    </row>
    <row r="925" spans="3:3" x14ac:dyDescent="0.25">
      <c r="C925" s="37"/>
    </row>
    <row r="926" spans="3:3" x14ac:dyDescent="0.25">
      <c r="C926" s="37"/>
    </row>
    <row r="927" spans="3:3" x14ac:dyDescent="0.25">
      <c r="C927" s="37"/>
    </row>
    <row r="928" spans="3:3" x14ac:dyDescent="0.25">
      <c r="C928" s="37"/>
    </row>
    <row r="929" spans="3:3" x14ac:dyDescent="0.25">
      <c r="C929" s="37"/>
    </row>
    <row r="930" spans="3:3" x14ac:dyDescent="0.25">
      <c r="C930" s="37"/>
    </row>
    <row r="931" spans="3:3" x14ac:dyDescent="0.25">
      <c r="C931" s="37"/>
    </row>
    <row r="932" spans="3:3" x14ac:dyDescent="0.25">
      <c r="C932" s="37"/>
    </row>
    <row r="933" spans="3:3" x14ac:dyDescent="0.25">
      <c r="C933" s="37"/>
    </row>
    <row r="934" spans="3:3" x14ac:dyDescent="0.25">
      <c r="C934" s="37"/>
    </row>
    <row r="935" spans="3:3" x14ac:dyDescent="0.25">
      <c r="C935" s="37"/>
    </row>
    <row r="936" spans="3:3" x14ac:dyDescent="0.25">
      <c r="C936" s="37"/>
    </row>
    <row r="937" spans="3:3" x14ac:dyDescent="0.25">
      <c r="C937" s="37"/>
    </row>
    <row r="938" spans="3:3" x14ac:dyDescent="0.25">
      <c r="C938" s="37"/>
    </row>
    <row r="939" spans="3:3" x14ac:dyDescent="0.25">
      <c r="C939" s="37"/>
    </row>
    <row r="940" spans="3:3" x14ac:dyDescent="0.25">
      <c r="C940" s="37"/>
    </row>
    <row r="941" spans="3:3" x14ac:dyDescent="0.25">
      <c r="C941" s="37"/>
    </row>
    <row r="942" spans="3:3" x14ac:dyDescent="0.25">
      <c r="C942" s="37"/>
    </row>
    <row r="943" spans="3:3" x14ac:dyDescent="0.25">
      <c r="C943" s="37"/>
    </row>
    <row r="944" spans="3:3" x14ac:dyDescent="0.25">
      <c r="C944" s="37"/>
    </row>
    <row r="945" spans="3:3" x14ac:dyDescent="0.25">
      <c r="C945" s="37"/>
    </row>
    <row r="946" spans="3:3" x14ac:dyDescent="0.25">
      <c r="C946" s="37"/>
    </row>
    <row r="947" spans="3:3" x14ac:dyDescent="0.25">
      <c r="C947" s="37"/>
    </row>
    <row r="948" spans="3:3" x14ac:dyDescent="0.25">
      <c r="C948" s="37"/>
    </row>
    <row r="949" spans="3:3" x14ac:dyDescent="0.25">
      <c r="C949" s="37"/>
    </row>
    <row r="950" spans="3:3" x14ac:dyDescent="0.25">
      <c r="C950" s="37"/>
    </row>
    <row r="951" spans="3:3" x14ac:dyDescent="0.25">
      <c r="C951" s="37"/>
    </row>
    <row r="952" spans="3:3" x14ac:dyDescent="0.25">
      <c r="C952" s="37"/>
    </row>
    <row r="953" spans="3:3" x14ac:dyDescent="0.25">
      <c r="C953" s="37"/>
    </row>
    <row r="954" spans="3:3" x14ac:dyDescent="0.25">
      <c r="C954" s="37"/>
    </row>
    <row r="955" spans="3:3" x14ac:dyDescent="0.25">
      <c r="C955" s="37"/>
    </row>
    <row r="956" spans="3:3" x14ac:dyDescent="0.25">
      <c r="C956" s="37"/>
    </row>
    <row r="957" spans="3:3" x14ac:dyDescent="0.25">
      <c r="C957" s="37"/>
    </row>
    <row r="958" spans="3:3" x14ac:dyDescent="0.25">
      <c r="C958" s="37"/>
    </row>
    <row r="959" spans="3:3" x14ac:dyDescent="0.25">
      <c r="C959" s="37"/>
    </row>
    <row r="960" spans="3:3" x14ac:dyDescent="0.25">
      <c r="C960" s="37"/>
    </row>
    <row r="961" spans="3:3" x14ac:dyDescent="0.25">
      <c r="C961" s="37"/>
    </row>
    <row r="962" spans="3:3" x14ac:dyDescent="0.25">
      <c r="C962" s="37"/>
    </row>
    <row r="963" spans="3:3" x14ac:dyDescent="0.25">
      <c r="C963" s="37"/>
    </row>
    <row r="964" spans="3:3" x14ac:dyDescent="0.25">
      <c r="C964" s="37"/>
    </row>
    <row r="965" spans="3:3" x14ac:dyDescent="0.25">
      <c r="C965" s="37"/>
    </row>
    <row r="966" spans="3:3" x14ac:dyDescent="0.25">
      <c r="C966" s="37"/>
    </row>
    <row r="967" spans="3:3" x14ac:dyDescent="0.25">
      <c r="C967" s="37"/>
    </row>
    <row r="968" spans="3:3" x14ac:dyDescent="0.25">
      <c r="C968" s="37"/>
    </row>
    <row r="969" spans="3:3" x14ac:dyDescent="0.25">
      <c r="C969" s="37"/>
    </row>
    <row r="970" spans="3:3" x14ac:dyDescent="0.25">
      <c r="C970" s="37"/>
    </row>
    <row r="971" spans="3:3" x14ac:dyDescent="0.25">
      <c r="C971" s="37"/>
    </row>
    <row r="972" spans="3:3" x14ac:dyDescent="0.25">
      <c r="C972" s="37"/>
    </row>
    <row r="973" spans="3:3" x14ac:dyDescent="0.25">
      <c r="C973" s="37"/>
    </row>
    <row r="974" spans="3:3" x14ac:dyDescent="0.25">
      <c r="C974" s="37"/>
    </row>
    <row r="975" spans="3:3" x14ac:dyDescent="0.25">
      <c r="C975" s="37"/>
    </row>
    <row r="976" spans="3:3" x14ac:dyDescent="0.25">
      <c r="C976" s="37"/>
    </row>
    <row r="977" spans="3:3" x14ac:dyDescent="0.25">
      <c r="C977" s="37"/>
    </row>
    <row r="978" spans="3:3" x14ac:dyDescent="0.25">
      <c r="C978" s="37"/>
    </row>
    <row r="979" spans="3:3" x14ac:dyDescent="0.25">
      <c r="C979" s="37"/>
    </row>
    <row r="980" spans="3:3" x14ac:dyDescent="0.25">
      <c r="C980" s="37"/>
    </row>
    <row r="981" spans="3:3" x14ac:dyDescent="0.25">
      <c r="C981" s="37"/>
    </row>
    <row r="982" spans="3:3" x14ac:dyDescent="0.25">
      <c r="C982" s="37"/>
    </row>
    <row r="983" spans="3:3" x14ac:dyDescent="0.25">
      <c r="C983" s="37"/>
    </row>
    <row r="984" spans="3:3" x14ac:dyDescent="0.25">
      <c r="C984" s="37"/>
    </row>
    <row r="985" spans="3:3" x14ac:dyDescent="0.25">
      <c r="C985" s="37"/>
    </row>
    <row r="986" spans="3:3" x14ac:dyDescent="0.25">
      <c r="C986" s="37"/>
    </row>
    <row r="987" spans="3:3" x14ac:dyDescent="0.25">
      <c r="C987" s="37"/>
    </row>
    <row r="988" spans="3:3" x14ac:dyDescent="0.25">
      <c r="C988" s="37"/>
    </row>
    <row r="989" spans="3:3" x14ac:dyDescent="0.25">
      <c r="C989" s="37"/>
    </row>
    <row r="990" spans="3:3" x14ac:dyDescent="0.25">
      <c r="C990" s="37"/>
    </row>
    <row r="991" spans="3:3" x14ac:dyDescent="0.25">
      <c r="C991" s="37"/>
    </row>
    <row r="992" spans="3:3" x14ac:dyDescent="0.25">
      <c r="C992" s="37"/>
    </row>
    <row r="993" spans="3:3" x14ac:dyDescent="0.25">
      <c r="C993" s="37"/>
    </row>
    <row r="994" spans="3:3" x14ac:dyDescent="0.25">
      <c r="C994" s="37"/>
    </row>
    <row r="995" spans="3:3" x14ac:dyDescent="0.25">
      <c r="C995" s="37"/>
    </row>
    <row r="996" spans="3:3" x14ac:dyDescent="0.25">
      <c r="C996" s="37"/>
    </row>
    <row r="997" spans="3:3" x14ac:dyDescent="0.25">
      <c r="C997" s="37"/>
    </row>
    <row r="998" spans="3:3" x14ac:dyDescent="0.25">
      <c r="C998" s="37"/>
    </row>
    <row r="999" spans="3:3" x14ac:dyDescent="0.25">
      <c r="C999" s="37"/>
    </row>
    <row r="1000" spans="3:3" x14ac:dyDescent="0.25">
      <c r="C1000" s="37"/>
    </row>
    <row r="1001" spans="3:3" x14ac:dyDescent="0.25">
      <c r="C1001" s="37"/>
    </row>
    <row r="1002" spans="3:3" x14ac:dyDescent="0.25">
      <c r="C1002" s="37"/>
    </row>
    <row r="1003" spans="3:3" x14ac:dyDescent="0.25">
      <c r="C1003" s="37"/>
    </row>
    <row r="1004" spans="3:3" x14ac:dyDescent="0.25">
      <c r="C1004" s="37"/>
    </row>
    <row r="1005" spans="3:3" x14ac:dyDescent="0.25">
      <c r="C1005" s="37"/>
    </row>
    <row r="1006" spans="3:3" x14ac:dyDescent="0.25">
      <c r="C1006" s="37"/>
    </row>
    <row r="1007" spans="3:3" x14ac:dyDescent="0.25">
      <c r="C1007" s="37"/>
    </row>
    <row r="1008" spans="3:3" x14ac:dyDescent="0.25">
      <c r="C1008" s="37"/>
    </row>
    <row r="1009" spans="3:3" x14ac:dyDescent="0.25">
      <c r="C1009" s="37"/>
    </row>
    <row r="1010" spans="3:3" x14ac:dyDescent="0.25">
      <c r="C1010" s="37"/>
    </row>
    <row r="1011" spans="3:3" x14ac:dyDescent="0.25">
      <c r="C1011" s="37"/>
    </row>
    <row r="1012" spans="3:3" x14ac:dyDescent="0.25">
      <c r="C1012" s="37"/>
    </row>
    <row r="1013" spans="3:3" x14ac:dyDescent="0.25">
      <c r="C1013" s="37"/>
    </row>
    <row r="1014" spans="3:3" x14ac:dyDescent="0.25">
      <c r="C1014" s="37"/>
    </row>
    <row r="1015" spans="3:3" x14ac:dyDescent="0.25">
      <c r="C1015" s="37"/>
    </row>
    <row r="1016" spans="3:3" x14ac:dyDescent="0.25">
      <c r="C1016" s="37"/>
    </row>
    <row r="1017" spans="3:3" x14ac:dyDescent="0.25">
      <c r="C1017" s="37"/>
    </row>
    <row r="1018" spans="3:3" x14ac:dyDescent="0.25">
      <c r="C1018" s="37"/>
    </row>
    <row r="1019" spans="3:3" x14ac:dyDescent="0.25">
      <c r="C1019" s="37"/>
    </row>
    <row r="1020" spans="3:3" x14ac:dyDescent="0.25">
      <c r="C1020" s="37"/>
    </row>
    <row r="1021" spans="3:3" x14ac:dyDescent="0.25">
      <c r="C1021" s="37"/>
    </row>
    <row r="1022" spans="3:3" x14ac:dyDescent="0.25">
      <c r="C1022" s="37"/>
    </row>
    <row r="1023" spans="3:3" x14ac:dyDescent="0.25">
      <c r="C1023" s="37"/>
    </row>
    <row r="1024" spans="3:3" x14ac:dyDescent="0.25">
      <c r="C1024" s="37"/>
    </row>
    <row r="1025" spans="3:3" x14ac:dyDescent="0.25">
      <c r="C1025" s="37"/>
    </row>
    <row r="1026" spans="3:3" x14ac:dyDescent="0.25">
      <c r="C1026" s="37"/>
    </row>
    <row r="1027" spans="3:3" x14ac:dyDescent="0.25">
      <c r="C1027" s="37"/>
    </row>
    <row r="1028" spans="3:3" x14ac:dyDescent="0.25">
      <c r="C1028" s="37"/>
    </row>
    <row r="1029" spans="3:3" x14ac:dyDescent="0.25">
      <c r="C1029" s="37"/>
    </row>
    <row r="1030" spans="3:3" x14ac:dyDescent="0.25">
      <c r="C1030" s="37"/>
    </row>
    <row r="1031" spans="3:3" x14ac:dyDescent="0.25">
      <c r="C1031" s="37"/>
    </row>
    <row r="1032" spans="3:3" x14ac:dyDescent="0.25">
      <c r="C1032" s="37"/>
    </row>
    <row r="1033" spans="3:3" x14ac:dyDescent="0.25">
      <c r="C1033" s="37"/>
    </row>
    <row r="1034" spans="3:3" x14ac:dyDescent="0.25">
      <c r="C1034" s="37"/>
    </row>
    <row r="1035" spans="3:3" x14ac:dyDescent="0.25">
      <c r="C1035" s="37"/>
    </row>
    <row r="1036" spans="3:3" x14ac:dyDescent="0.25">
      <c r="C1036" s="37"/>
    </row>
    <row r="1037" spans="3:3" x14ac:dyDescent="0.25">
      <c r="C1037" s="37"/>
    </row>
    <row r="1038" spans="3:3" x14ac:dyDescent="0.25">
      <c r="C1038" s="37"/>
    </row>
    <row r="1039" spans="3:3" x14ac:dyDescent="0.25">
      <c r="C1039" s="37"/>
    </row>
    <row r="1040" spans="3:3" x14ac:dyDescent="0.25">
      <c r="C1040" s="37"/>
    </row>
    <row r="1041" spans="3:3" x14ac:dyDescent="0.25">
      <c r="C1041" s="37"/>
    </row>
    <row r="1042" spans="3:3" x14ac:dyDescent="0.25">
      <c r="C1042" s="37"/>
    </row>
    <row r="1043" spans="3:3" x14ac:dyDescent="0.25">
      <c r="C1043" s="37"/>
    </row>
    <row r="1044" spans="3:3" x14ac:dyDescent="0.25">
      <c r="C1044" s="37"/>
    </row>
    <row r="1045" spans="3:3" x14ac:dyDescent="0.25">
      <c r="C1045" s="37"/>
    </row>
    <row r="1046" spans="3:3" x14ac:dyDescent="0.25">
      <c r="C1046" s="37"/>
    </row>
    <row r="1047" spans="3:3" x14ac:dyDescent="0.25">
      <c r="C1047" s="37"/>
    </row>
    <row r="1048" spans="3:3" x14ac:dyDescent="0.25">
      <c r="C1048" s="37"/>
    </row>
    <row r="1049" spans="3:3" x14ac:dyDescent="0.25">
      <c r="C1049" s="37"/>
    </row>
    <row r="1050" spans="3:3" x14ac:dyDescent="0.25">
      <c r="C1050" s="37"/>
    </row>
    <row r="1051" spans="3:3" x14ac:dyDescent="0.25">
      <c r="C1051" s="37"/>
    </row>
    <row r="1052" spans="3:3" x14ac:dyDescent="0.25">
      <c r="C1052" s="37"/>
    </row>
    <row r="1053" spans="3:3" x14ac:dyDescent="0.25">
      <c r="C1053" s="37"/>
    </row>
    <row r="1054" spans="3:3" x14ac:dyDescent="0.25">
      <c r="C1054" s="37"/>
    </row>
    <row r="1055" spans="3:3" x14ac:dyDescent="0.25">
      <c r="C1055" s="37"/>
    </row>
    <row r="1056" spans="3:3" x14ac:dyDescent="0.25">
      <c r="C1056" s="37"/>
    </row>
    <row r="1057" spans="3:3" x14ac:dyDescent="0.25">
      <c r="C1057" s="37"/>
    </row>
    <row r="1058" spans="3:3" x14ac:dyDescent="0.25">
      <c r="C1058" s="37"/>
    </row>
    <row r="1059" spans="3:3" x14ac:dyDescent="0.25">
      <c r="C1059" s="37"/>
    </row>
    <row r="1060" spans="3:3" x14ac:dyDescent="0.25">
      <c r="C1060" s="37"/>
    </row>
    <row r="1061" spans="3:3" x14ac:dyDescent="0.25">
      <c r="C1061" s="37"/>
    </row>
    <row r="1062" spans="3:3" x14ac:dyDescent="0.25">
      <c r="C1062" s="37"/>
    </row>
    <row r="1063" spans="3:3" x14ac:dyDescent="0.25">
      <c r="C1063" s="37"/>
    </row>
    <row r="1064" spans="3:3" x14ac:dyDescent="0.25">
      <c r="C1064" s="37"/>
    </row>
    <row r="1065" spans="3:3" x14ac:dyDescent="0.25">
      <c r="C1065" s="37"/>
    </row>
    <row r="1066" spans="3:3" x14ac:dyDescent="0.25">
      <c r="C1066" s="37"/>
    </row>
    <row r="1067" spans="3:3" x14ac:dyDescent="0.25">
      <c r="C1067" s="37"/>
    </row>
    <row r="1068" spans="3:3" x14ac:dyDescent="0.25">
      <c r="C1068" s="37"/>
    </row>
    <row r="1069" spans="3:3" x14ac:dyDescent="0.25">
      <c r="C1069" s="37"/>
    </row>
    <row r="1070" spans="3:3" x14ac:dyDescent="0.25">
      <c r="C1070" s="37"/>
    </row>
    <row r="1071" spans="3:3" x14ac:dyDescent="0.25">
      <c r="C1071" s="37"/>
    </row>
    <row r="1072" spans="3:3" x14ac:dyDescent="0.25">
      <c r="C1072" s="37"/>
    </row>
    <row r="1073" spans="3:3" x14ac:dyDescent="0.25">
      <c r="C1073" s="37"/>
    </row>
    <row r="1074" spans="3:3" x14ac:dyDescent="0.25">
      <c r="C1074" s="37"/>
    </row>
    <row r="1075" spans="3:3" x14ac:dyDescent="0.25">
      <c r="C1075" s="37"/>
    </row>
    <row r="1076" spans="3:3" x14ac:dyDescent="0.25">
      <c r="C1076" s="37"/>
    </row>
    <row r="1077" spans="3:3" x14ac:dyDescent="0.25">
      <c r="C1077" s="37"/>
    </row>
    <row r="1078" spans="3:3" x14ac:dyDescent="0.25">
      <c r="C1078" s="37"/>
    </row>
    <row r="1079" spans="3:3" x14ac:dyDescent="0.25">
      <c r="C1079" s="37"/>
    </row>
    <row r="1080" spans="3:3" x14ac:dyDescent="0.25">
      <c r="C1080" s="37"/>
    </row>
    <row r="1081" spans="3:3" x14ac:dyDescent="0.25">
      <c r="C1081" s="37"/>
    </row>
    <row r="1082" spans="3:3" x14ac:dyDescent="0.25">
      <c r="C1082" s="37"/>
    </row>
    <row r="1083" spans="3:3" x14ac:dyDescent="0.25">
      <c r="C1083" s="37"/>
    </row>
    <row r="1084" spans="3:3" x14ac:dyDescent="0.25">
      <c r="C1084" s="37"/>
    </row>
    <row r="1085" spans="3:3" x14ac:dyDescent="0.25">
      <c r="C1085" s="37"/>
    </row>
    <row r="1086" spans="3:3" x14ac:dyDescent="0.25">
      <c r="C1086" s="37"/>
    </row>
    <row r="1087" spans="3:3" x14ac:dyDescent="0.25">
      <c r="C1087" s="37"/>
    </row>
    <row r="1088" spans="3:3" x14ac:dyDescent="0.25">
      <c r="C1088" s="37"/>
    </row>
    <row r="1089" spans="3:3" x14ac:dyDescent="0.25">
      <c r="C1089" s="37"/>
    </row>
    <row r="1090" spans="3:3" x14ac:dyDescent="0.25">
      <c r="C1090" s="37"/>
    </row>
    <row r="1091" spans="3:3" x14ac:dyDescent="0.25">
      <c r="C1091" s="37"/>
    </row>
    <row r="1092" spans="3:3" x14ac:dyDescent="0.25">
      <c r="C1092" s="37"/>
    </row>
    <row r="1093" spans="3:3" x14ac:dyDescent="0.25">
      <c r="C1093" s="37"/>
    </row>
    <row r="1094" spans="3:3" x14ac:dyDescent="0.25">
      <c r="C1094" s="37"/>
    </row>
    <row r="1095" spans="3:3" x14ac:dyDescent="0.25">
      <c r="C1095" s="37"/>
    </row>
    <row r="1096" spans="3:3" x14ac:dyDescent="0.25">
      <c r="C1096" s="37"/>
    </row>
    <row r="1097" spans="3:3" x14ac:dyDescent="0.25">
      <c r="C1097" s="37"/>
    </row>
    <row r="1098" spans="3:3" x14ac:dyDescent="0.25">
      <c r="C1098" s="37"/>
    </row>
    <row r="1099" spans="3:3" x14ac:dyDescent="0.25">
      <c r="C1099" s="37"/>
    </row>
    <row r="1100" spans="3:3" x14ac:dyDescent="0.25">
      <c r="C1100" s="37"/>
    </row>
    <row r="1101" spans="3:3" x14ac:dyDescent="0.25">
      <c r="C1101" s="37"/>
    </row>
    <row r="1102" spans="3:3" x14ac:dyDescent="0.25">
      <c r="C1102" s="37"/>
    </row>
    <row r="1103" spans="3:3" x14ac:dyDescent="0.25">
      <c r="C1103" s="37"/>
    </row>
    <row r="1104" spans="3:3" x14ac:dyDescent="0.25">
      <c r="C1104" s="37"/>
    </row>
    <row r="1105" spans="3:3" x14ac:dyDescent="0.25">
      <c r="C1105" s="37"/>
    </row>
    <row r="1106" spans="3:3" x14ac:dyDescent="0.25">
      <c r="C1106" s="37"/>
    </row>
    <row r="1107" spans="3:3" x14ac:dyDescent="0.25">
      <c r="C1107" s="37"/>
    </row>
    <row r="1108" spans="3:3" x14ac:dyDescent="0.25">
      <c r="C1108" s="37"/>
    </row>
    <row r="1109" spans="3:3" x14ac:dyDescent="0.25">
      <c r="C1109" s="37"/>
    </row>
    <row r="1110" spans="3:3" x14ac:dyDescent="0.25">
      <c r="C1110" s="37"/>
    </row>
    <row r="1111" spans="3:3" x14ac:dyDescent="0.25">
      <c r="C1111" s="37"/>
    </row>
    <row r="1112" spans="3:3" x14ac:dyDescent="0.25">
      <c r="C1112" s="37"/>
    </row>
    <row r="1113" spans="3:3" x14ac:dyDescent="0.25">
      <c r="C1113" s="37"/>
    </row>
    <row r="1114" spans="3:3" x14ac:dyDescent="0.25">
      <c r="C1114" s="37"/>
    </row>
    <row r="1115" spans="3:3" x14ac:dyDescent="0.25">
      <c r="C1115" s="37"/>
    </row>
    <row r="1116" spans="3:3" x14ac:dyDescent="0.25">
      <c r="C1116" s="37"/>
    </row>
    <row r="1117" spans="3:3" x14ac:dyDescent="0.25">
      <c r="C1117" s="37"/>
    </row>
    <row r="1118" spans="3:3" x14ac:dyDescent="0.25">
      <c r="C1118" s="37"/>
    </row>
    <row r="1119" spans="3:3" x14ac:dyDescent="0.25">
      <c r="C1119" s="37"/>
    </row>
    <row r="1120" spans="3:3" x14ac:dyDescent="0.25">
      <c r="C1120" s="37"/>
    </row>
    <row r="1121" spans="3:3" x14ac:dyDescent="0.25">
      <c r="C1121" s="37"/>
    </row>
    <row r="1122" spans="3:3" x14ac:dyDescent="0.25">
      <c r="C1122" s="37"/>
    </row>
    <row r="1123" spans="3:3" x14ac:dyDescent="0.25">
      <c r="C1123" s="37"/>
    </row>
    <row r="1124" spans="3:3" x14ac:dyDescent="0.25">
      <c r="C1124" s="37"/>
    </row>
    <row r="1125" spans="3:3" x14ac:dyDescent="0.25">
      <c r="C1125" s="37"/>
    </row>
    <row r="1126" spans="3:3" x14ac:dyDescent="0.25">
      <c r="C1126" s="37"/>
    </row>
    <row r="1127" spans="3:3" x14ac:dyDescent="0.25">
      <c r="C1127" s="37"/>
    </row>
    <row r="1128" spans="3:3" x14ac:dyDescent="0.25">
      <c r="C1128" s="37"/>
    </row>
    <row r="1129" spans="3:3" x14ac:dyDescent="0.25">
      <c r="C1129" s="37"/>
    </row>
    <row r="1130" spans="3:3" x14ac:dyDescent="0.25">
      <c r="C1130" s="37"/>
    </row>
    <row r="1131" spans="3:3" x14ac:dyDescent="0.25">
      <c r="C1131" s="37"/>
    </row>
    <row r="1132" spans="3:3" x14ac:dyDescent="0.25">
      <c r="C1132" s="37"/>
    </row>
    <row r="1133" spans="3:3" x14ac:dyDescent="0.25">
      <c r="C1133" s="37"/>
    </row>
    <row r="1134" spans="3:3" x14ac:dyDescent="0.25">
      <c r="C1134" s="37"/>
    </row>
    <row r="1135" spans="3:3" x14ac:dyDescent="0.25">
      <c r="C1135" s="37"/>
    </row>
    <row r="1136" spans="3:3" x14ac:dyDescent="0.25">
      <c r="C1136" s="37"/>
    </row>
    <row r="1137" spans="3:3" x14ac:dyDescent="0.25">
      <c r="C1137" s="37"/>
    </row>
    <row r="1138" spans="3:3" x14ac:dyDescent="0.25">
      <c r="C1138" s="37"/>
    </row>
    <row r="1139" spans="3:3" x14ac:dyDescent="0.25">
      <c r="C1139" s="37"/>
    </row>
    <row r="1140" spans="3:3" x14ac:dyDescent="0.25">
      <c r="C1140" s="37"/>
    </row>
    <row r="1141" spans="3:3" x14ac:dyDescent="0.25">
      <c r="C1141" s="37"/>
    </row>
    <row r="1142" spans="3:3" x14ac:dyDescent="0.25">
      <c r="C1142" s="37"/>
    </row>
    <row r="1143" spans="3:3" x14ac:dyDescent="0.25">
      <c r="C1143" s="37"/>
    </row>
    <row r="1144" spans="3:3" x14ac:dyDescent="0.25">
      <c r="C1144" s="37"/>
    </row>
    <row r="1145" spans="3:3" x14ac:dyDescent="0.25">
      <c r="C1145" s="37"/>
    </row>
    <row r="1146" spans="3:3" x14ac:dyDescent="0.25">
      <c r="C1146" s="37"/>
    </row>
    <row r="1147" spans="3:3" x14ac:dyDescent="0.25">
      <c r="C1147" s="37"/>
    </row>
    <row r="1148" spans="3:3" x14ac:dyDescent="0.25">
      <c r="C1148" s="37"/>
    </row>
    <row r="1149" spans="3:3" x14ac:dyDescent="0.25">
      <c r="C1149" s="37"/>
    </row>
    <row r="1150" spans="3:3" x14ac:dyDescent="0.25">
      <c r="C1150" s="37"/>
    </row>
    <row r="1151" spans="3:3" x14ac:dyDescent="0.25">
      <c r="C1151" s="37"/>
    </row>
    <row r="1152" spans="3:3" x14ac:dyDescent="0.25">
      <c r="C1152" s="37"/>
    </row>
    <row r="1153" spans="3:3" x14ac:dyDescent="0.25">
      <c r="C1153" s="37"/>
    </row>
    <row r="1154" spans="3:3" x14ac:dyDescent="0.25">
      <c r="C1154" s="37"/>
    </row>
    <row r="1155" spans="3:3" x14ac:dyDescent="0.25">
      <c r="C1155" s="37"/>
    </row>
    <row r="1156" spans="3:3" x14ac:dyDescent="0.25">
      <c r="C1156" s="37"/>
    </row>
    <row r="1157" spans="3:3" x14ac:dyDescent="0.25">
      <c r="C1157" s="37"/>
    </row>
    <row r="1158" spans="3:3" x14ac:dyDescent="0.25">
      <c r="C1158" s="37"/>
    </row>
    <row r="1159" spans="3:3" x14ac:dyDescent="0.25">
      <c r="C1159" s="37"/>
    </row>
    <row r="1160" spans="3:3" x14ac:dyDescent="0.25">
      <c r="C1160" s="37"/>
    </row>
    <row r="1161" spans="3:3" x14ac:dyDescent="0.25">
      <c r="C1161" s="37"/>
    </row>
    <row r="1162" spans="3:3" x14ac:dyDescent="0.25">
      <c r="C1162" s="37"/>
    </row>
    <row r="1163" spans="3:3" x14ac:dyDescent="0.25">
      <c r="C1163" s="37"/>
    </row>
    <row r="1164" spans="3:3" x14ac:dyDescent="0.25">
      <c r="C1164" s="37"/>
    </row>
    <row r="1165" spans="3:3" x14ac:dyDescent="0.25">
      <c r="C1165" s="37"/>
    </row>
    <row r="1166" spans="3:3" x14ac:dyDescent="0.25">
      <c r="C1166" s="37"/>
    </row>
    <row r="1167" spans="3:3" x14ac:dyDescent="0.25">
      <c r="C1167" s="37"/>
    </row>
    <row r="1168" spans="3:3" x14ac:dyDescent="0.25">
      <c r="C1168" s="37"/>
    </row>
    <row r="1169" spans="3:3" x14ac:dyDescent="0.25">
      <c r="C1169" s="37"/>
    </row>
    <row r="1170" spans="3:3" x14ac:dyDescent="0.25">
      <c r="C1170" s="37"/>
    </row>
    <row r="1171" spans="3:3" x14ac:dyDescent="0.25">
      <c r="C1171" s="37"/>
    </row>
    <row r="1172" spans="3:3" x14ac:dyDescent="0.25">
      <c r="C1172" s="37"/>
    </row>
    <row r="1173" spans="3:3" x14ac:dyDescent="0.25">
      <c r="C1173" s="37"/>
    </row>
    <row r="1174" spans="3:3" x14ac:dyDescent="0.25">
      <c r="C1174" s="37"/>
    </row>
    <row r="1175" spans="3:3" x14ac:dyDescent="0.25">
      <c r="C1175" s="37"/>
    </row>
    <row r="1176" spans="3:3" x14ac:dyDescent="0.25">
      <c r="C1176" s="37"/>
    </row>
    <row r="1177" spans="3:3" x14ac:dyDescent="0.25">
      <c r="C1177" s="37"/>
    </row>
    <row r="1178" spans="3:3" x14ac:dyDescent="0.25">
      <c r="C1178" s="37"/>
    </row>
    <row r="1179" spans="3:3" x14ac:dyDescent="0.25">
      <c r="C1179" s="37"/>
    </row>
    <row r="1180" spans="3:3" x14ac:dyDescent="0.25">
      <c r="C1180" s="37"/>
    </row>
    <row r="1181" spans="3:3" x14ac:dyDescent="0.25">
      <c r="C1181" s="37"/>
    </row>
    <row r="1182" spans="3:3" x14ac:dyDescent="0.25">
      <c r="C1182" s="37"/>
    </row>
    <row r="1183" spans="3:3" x14ac:dyDescent="0.25">
      <c r="C1183" s="37"/>
    </row>
    <row r="1184" spans="3:3" x14ac:dyDescent="0.25">
      <c r="C1184" s="37"/>
    </row>
    <row r="1185" spans="3:3" x14ac:dyDescent="0.25">
      <c r="C1185" s="37"/>
    </row>
    <row r="1186" spans="3:3" x14ac:dyDescent="0.25">
      <c r="C1186" s="37"/>
    </row>
    <row r="1187" spans="3:3" x14ac:dyDescent="0.25">
      <c r="C1187" s="37"/>
    </row>
    <row r="1188" spans="3:3" x14ac:dyDescent="0.25">
      <c r="C1188" s="37"/>
    </row>
    <row r="1189" spans="3:3" x14ac:dyDescent="0.25">
      <c r="C1189" s="37"/>
    </row>
    <row r="1190" spans="3:3" x14ac:dyDescent="0.25">
      <c r="C1190" s="37"/>
    </row>
    <row r="1191" spans="3:3" x14ac:dyDescent="0.25">
      <c r="C1191" s="37"/>
    </row>
    <row r="1192" spans="3:3" x14ac:dyDescent="0.25">
      <c r="C1192" s="37"/>
    </row>
    <row r="1193" spans="3:3" x14ac:dyDescent="0.25">
      <c r="C1193" s="37"/>
    </row>
    <row r="1194" spans="3:3" x14ac:dyDescent="0.25">
      <c r="C1194" s="37"/>
    </row>
    <row r="1195" spans="3:3" x14ac:dyDescent="0.25">
      <c r="C1195" s="37"/>
    </row>
    <row r="1196" spans="3:3" x14ac:dyDescent="0.25">
      <c r="C1196" s="37"/>
    </row>
    <row r="1197" spans="3:3" x14ac:dyDescent="0.25">
      <c r="C1197" s="37"/>
    </row>
    <row r="1198" spans="3:3" x14ac:dyDescent="0.25">
      <c r="C1198" s="37"/>
    </row>
    <row r="1199" spans="3:3" x14ac:dyDescent="0.25">
      <c r="C1199" s="37"/>
    </row>
    <row r="1200" spans="3:3" x14ac:dyDescent="0.25">
      <c r="C1200" s="37"/>
    </row>
    <row r="1201" spans="3:3" x14ac:dyDescent="0.25">
      <c r="C1201" s="37"/>
    </row>
    <row r="1202" spans="3:3" x14ac:dyDescent="0.25">
      <c r="C1202" s="37"/>
    </row>
    <row r="1203" spans="3:3" x14ac:dyDescent="0.25">
      <c r="C1203" s="37"/>
    </row>
    <row r="1204" spans="3:3" x14ac:dyDescent="0.25">
      <c r="C1204" s="37"/>
    </row>
    <row r="1205" spans="3:3" x14ac:dyDescent="0.25">
      <c r="C1205" s="37"/>
    </row>
    <row r="1206" spans="3:3" x14ac:dyDescent="0.25">
      <c r="C1206" s="37"/>
    </row>
    <row r="1207" spans="3:3" x14ac:dyDescent="0.25">
      <c r="C1207" s="37"/>
    </row>
    <row r="1208" spans="3:3" x14ac:dyDescent="0.25">
      <c r="C1208" s="37"/>
    </row>
    <row r="1209" spans="3:3" x14ac:dyDescent="0.25">
      <c r="C1209" s="37"/>
    </row>
    <row r="1210" spans="3:3" x14ac:dyDescent="0.25">
      <c r="C1210" s="37"/>
    </row>
    <row r="1211" spans="3:3" x14ac:dyDescent="0.25">
      <c r="C1211" s="37"/>
    </row>
    <row r="1212" spans="3:3" x14ac:dyDescent="0.25">
      <c r="C1212" s="37"/>
    </row>
    <row r="1213" spans="3:3" x14ac:dyDescent="0.25">
      <c r="C1213" s="37"/>
    </row>
    <row r="1214" spans="3:3" x14ac:dyDescent="0.25">
      <c r="C1214" s="37"/>
    </row>
    <row r="1215" spans="3:3" x14ac:dyDescent="0.25">
      <c r="C1215" s="37"/>
    </row>
    <row r="1216" spans="3:3" x14ac:dyDescent="0.25">
      <c r="C1216" s="37"/>
    </row>
    <row r="1217" spans="3:3" x14ac:dyDescent="0.25">
      <c r="C1217" s="37"/>
    </row>
    <row r="1218" spans="3:3" x14ac:dyDescent="0.25">
      <c r="C1218" s="37"/>
    </row>
    <row r="1219" spans="3:3" x14ac:dyDescent="0.25">
      <c r="C1219" s="37"/>
    </row>
    <row r="1220" spans="3:3" x14ac:dyDescent="0.25">
      <c r="C1220" s="37"/>
    </row>
    <row r="1221" spans="3:3" x14ac:dyDescent="0.25">
      <c r="C1221" s="37"/>
    </row>
    <row r="1222" spans="3:3" x14ac:dyDescent="0.25">
      <c r="C1222" s="37"/>
    </row>
    <row r="1223" spans="3:3" x14ac:dyDescent="0.25">
      <c r="C1223" s="37"/>
    </row>
    <row r="1224" spans="3:3" x14ac:dyDescent="0.25">
      <c r="C1224" s="37"/>
    </row>
    <row r="1225" spans="3:3" x14ac:dyDescent="0.25">
      <c r="C1225" s="37"/>
    </row>
    <row r="1226" spans="3:3" x14ac:dyDescent="0.25">
      <c r="C1226" s="37"/>
    </row>
    <row r="1227" spans="3:3" x14ac:dyDescent="0.25">
      <c r="C1227" s="37"/>
    </row>
    <row r="1228" spans="3:3" x14ac:dyDescent="0.25">
      <c r="C1228" s="37"/>
    </row>
    <row r="1229" spans="3:3" x14ac:dyDescent="0.25">
      <c r="C1229" s="37"/>
    </row>
    <row r="1230" spans="3:3" x14ac:dyDescent="0.25">
      <c r="C1230" s="37"/>
    </row>
    <row r="1231" spans="3:3" x14ac:dyDescent="0.25">
      <c r="C1231" s="37"/>
    </row>
    <row r="1232" spans="3:3" x14ac:dyDescent="0.25">
      <c r="C1232" s="37"/>
    </row>
    <row r="1233" spans="3:3" x14ac:dyDescent="0.25">
      <c r="C1233" s="37"/>
    </row>
    <row r="1234" spans="3:3" x14ac:dyDescent="0.25">
      <c r="C1234" s="37"/>
    </row>
    <row r="1235" spans="3:3" x14ac:dyDescent="0.25">
      <c r="C1235" s="37"/>
    </row>
    <row r="1236" spans="3:3" x14ac:dyDescent="0.25">
      <c r="C1236" s="37"/>
    </row>
    <row r="1237" spans="3:3" x14ac:dyDescent="0.25">
      <c r="C1237" s="37"/>
    </row>
    <row r="1238" spans="3:3" x14ac:dyDescent="0.25">
      <c r="C1238" s="37"/>
    </row>
    <row r="1239" spans="3:3" x14ac:dyDescent="0.25">
      <c r="C1239" s="37"/>
    </row>
    <row r="1240" spans="3:3" x14ac:dyDescent="0.25">
      <c r="C1240" s="37"/>
    </row>
    <row r="1241" spans="3:3" x14ac:dyDescent="0.25">
      <c r="C1241" s="37"/>
    </row>
    <row r="1242" spans="3:3" x14ac:dyDescent="0.25">
      <c r="C1242" s="37"/>
    </row>
    <row r="1243" spans="3:3" x14ac:dyDescent="0.25">
      <c r="C1243" s="37"/>
    </row>
    <row r="1244" spans="3:3" x14ac:dyDescent="0.25">
      <c r="C1244" s="37"/>
    </row>
    <row r="1245" spans="3:3" x14ac:dyDescent="0.25">
      <c r="C1245" s="37"/>
    </row>
    <row r="1246" spans="3:3" x14ac:dyDescent="0.25">
      <c r="C1246" s="37"/>
    </row>
    <row r="1247" spans="3:3" x14ac:dyDescent="0.25">
      <c r="C1247" s="37"/>
    </row>
    <row r="1248" spans="3:3" x14ac:dyDescent="0.25">
      <c r="C1248" s="37"/>
    </row>
    <row r="1249" spans="3:3" x14ac:dyDescent="0.25">
      <c r="C1249" s="37"/>
    </row>
    <row r="1250" spans="3:3" x14ac:dyDescent="0.25">
      <c r="C1250" s="37"/>
    </row>
    <row r="1251" spans="3:3" x14ac:dyDescent="0.25">
      <c r="C1251" s="37"/>
    </row>
    <row r="1252" spans="3:3" x14ac:dyDescent="0.25">
      <c r="C1252" s="37"/>
    </row>
    <row r="1253" spans="3:3" x14ac:dyDescent="0.25">
      <c r="C1253" s="37"/>
    </row>
    <row r="1254" spans="3:3" x14ac:dyDescent="0.25">
      <c r="C1254" s="37"/>
    </row>
    <row r="1255" spans="3:3" x14ac:dyDescent="0.25">
      <c r="C1255" s="37"/>
    </row>
    <row r="1256" spans="3:3" x14ac:dyDescent="0.25">
      <c r="C1256" s="37"/>
    </row>
    <row r="1257" spans="3:3" x14ac:dyDescent="0.25">
      <c r="C1257" s="37"/>
    </row>
    <row r="1258" spans="3:3" x14ac:dyDescent="0.25">
      <c r="C1258" s="37"/>
    </row>
    <row r="1259" spans="3:3" x14ac:dyDescent="0.25">
      <c r="C1259" s="37"/>
    </row>
    <row r="1260" spans="3:3" x14ac:dyDescent="0.25">
      <c r="C1260" s="37"/>
    </row>
    <row r="1261" spans="3:3" x14ac:dyDescent="0.25">
      <c r="C1261" s="37"/>
    </row>
    <row r="1262" spans="3:3" x14ac:dyDescent="0.25">
      <c r="C1262" s="37"/>
    </row>
    <row r="1263" spans="3:3" x14ac:dyDescent="0.25">
      <c r="C1263" s="37"/>
    </row>
    <row r="1264" spans="3:3" x14ac:dyDescent="0.25">
      <c r="C1264" s="37"/>
    </row>
    <row r="1265" spans="3:3" x14ac:dyDescent="0.25">
      <c r="C1265" s="37"/>
    </row>
    <row r="1266" spans="3:3" x14ac:dyDescent="0.25">
      <c r="C1266" s="37"/>
    </row>
    <row r="1267" spans="3:3" x14ac:dyDescent="0.25">
      <c r="C1267" s="37"/>
    </row>
    <row r="1268" spans="3:3" x14ac:dyDescent="0.25">
      <c r="C1268" s="37"/>
    </row>
    <row r="1269" spans="3:3" x14ac:dyDescent="0.25">
      <c r="C1269" s="37"/>
    </row>
    <row r="1270" spans="3:3" x14ac:dyDescent="0.25">
      <c r="C1270" s="37"/>
    </row>
    <row r="1271" spans="3:3" x14ac:dyDescent="0.25">
      <c r="C1271" s="37"/>
    </row>
    <row r="1272" spans="3:3" x14ac:dyDescent="0.25">
      <c r="C1272" s="37"/>
    </row>
    <row r="1273" spans="3:3" x14ac:dyDescent="0.25">
      <c r="C1273" s="37"/>
    </row>
    <row r="1274" spans="3:3" x14ac:dyDescent="0.25">
      <c r="C1274" s="37"/>
    </row>
    <row r="1275" spans="3:3" x14ac:dyDescent="0.25">
      <c r="C1275" s="37"/>
    </row>
    <row r="1276" spans="3:3" x14ac:dyDescent="0.25">
      <c r="C1276" s="37"/>
    </row>
    <row r="1277" spans="3:3" x14ac:dyDescent="0.25">
      <c r="C1277" s="37"/>
    </row>
    <row r="1278" spans="3:3" x14ac:dyDescent="0.25">
      <c r="C1278" s="37"/>
    </row>
    <row r="1279" spans="3:3" x14ac:dyDescent="0.25">
      <c r="C1279" s="37"/>
    </row>
    <row r="1280" spans="3:3" x14ac:dyDescent="0.25">
      <c r="C1280" s="37"/>
    </row>
    <row r="1281" spans="3:3" x14ac:dyDescent="0.25">
      <c r="C1281" s="37"/>
    </row>
    <row r="1282" spans="3:3" x14ac:dyDescent="0.25">
      <c r="C1282" s="37"/>
    </row>
    <row r="1283" spans="3:3" x14ac:dyDescent="0.25">
      <c r="C1283" s="37"/>
    </row>
    <row r="1284" spans="3:3" x14ac:dyDescent="0.25">
      <c r="C1284" s="37"/>
    </row>
    <row r="1285" spans="3:3" x14ac:dyDescent="0.25">
      <c r="C1285" s="37"/>
    </row>
    <row r="1286" spans="3:3" x14ac:dyDescent="0.25">
      <c r="C1286" s="37"/>
    </row>
    <row r="1287" spans="3:3" x14ac:dyDescent="0.25">
      <c r="C1287" s="37"/>
    </row>
    <row r="1288" spans="3:3" x14ac:dyDescent="0.25">
      <c r="C1288" s="37"/>
    </row>
    <row r="1289" spans="3:3" x14ac:dyDescent="0.25">
      <c r="C1289" s="37"/>
    </row>
    <row r="1290" spans="3:3" x14ac:dyDescent="0.25">
      <c r="C1290" s="37"/>
    </row>
    <row r="1291" spans="3:3" x14ac:dyDescent="0.25">
      <c r="C1291" s="37"/>
    </row>
    <row r="1292" spans="3:3" x14ac:dyDescent="0.25">
      <c r="C1292" s="37"/>
    </row>
    <row r="1293" spans="3:3" x14ac:dyDescent="0.25">
      <c r="C1293" s="37"/>
    </row>
    <row r="1294" spans="3:3" x14ac:dyDescent="0.25">
      <c r="C1294" s="37"/>
    </row>
    <row r="1295" spans="3:3" x14ac:dyDescent="0.25">
      <c r="C1295" s="37"/>
    </row>
    <row r="1296" spans="3:3" x14ac:dyDescent="0.25">
      <c r="C1296" s="37"/>
    </row>
    <row r="1297" spans="3:3" x14ac:dyDescent="0.25">
      <c r="C1297" s="37"/>
    </row>
    <row r="1298" spans="3:3" x14ac:dyDescent="0.25">
      <c r="C1298" s="37"/>
    </row>
    <row r="1299" spans="3:3" x14ac:dyDescent="0.25">
      <c r="C1299" s="37"/>
    </row>
    <row r="1300" spans="3:3" x14ac:dyDescent="0.25">
      <c r="C1300" s="37"/>
    </row>
    <row r="1301" spans="3:3" x14ac:dyDescent="0.25">
      <c r="C1301" s="37"/>
    </row>
    <row r="1302" spans="3:3" x14ac:dyDescent="0.25">
      <c r="C1302" s="37"/>
    </row>
    <row r="1303" spans="3:3" x14ac:dyDescent="0.25">
      <c r="C1303" s="37"/>
    </row>
    <row r="1304" spans="3:3" x14ac:dyDescent="0.25">
      <c r="C1304" s="37"/>
    </row>
    <row r="1305" spans="3:3" x14ac:dyDescent="0.25">
      <c r="C1305" s="37"/>
    </row>
    <row r="1306" spans="3:3" x14ac:dyDescent="0.25">
      <c r="C1306" s="37"/>
    </row>
    <row r="1307" spans="3:3" x14ac:dyDescent="0.25">
      <c r="C1307" s="37"/>
    </row>
    <row r="1308" spans="3:3" x14ac:dyDescent="0.25">
      <c r="C1308" s="37"/>
    </row>
    <row r="1309" spans="3:3" x14ac:dyDescent="0.25">
      <c r="C1309" s="37"/>
    </row>
    <row r="1310" spans="3:3" x14ac:dyDescent="0.25">
      <c r="C1310" s="37"/>
    </row>
    <row r="1311" spans="3:3" x14ac:dyDescent="0.25">
      <c r="C1311" s="37"/>
    </row>
    <row r="1312" spans="3:3" x14ac:dyDescent="0.25">
      <c r="C1312" s="37"/>
    </row>
    <row r="1313" spans="3:3" x14ac:dyDescent="0.25">
      <c r="C1313" s="37"/>
    </row>
    <row r="1314" spans="3:3" x14ac:dyDescent="0.25">
      <c r="C1314" s="37"/>
    </row>
    <row r="1315" spans="3:3" x14ac:dyDescent="0.25">
      <c r="C1315" s="37"/>
    </row>
    <row r="1316" spans="3:3" x14ac:dyDescent="0.25">
      <c r="C1316" s="37"/>
    </row>
    <row r="1317" spans="3:3" x14ac:dyDescent="0.25">
      <c r="C1317" s="37"/>
    </row>
    <row r="1318" spans="3:3" x14ac:dyDescent="0.25">
      <c r="C1318" s="37"/>
    </row>
    <row r="1319" spans="3:3" x14ac:dyDescent="0.25">
      <c r="C1319" s="37"/>
    </row>
    <row r="1320" spans="3:3" x14ac:dyDescent="0.25">
      <c r="C1320" s="37"/>
    </row>
    <row r="1321" spans="3:3" x14ac:dyDescent="0.25">
      <c r="C1321" s="37"/>
    </row>
    <row r="1322" spans="3:3" x14ac:dyDescent="0.25">
      <c r="C1322" s="37"/>
    </row>
    <row r="1323" spans="3:3" x14ac:dyDescent="0.25">
      <c r="C1323" s="37"/>
    </row>
    <row r="1324" spans="3:3" x14ac:dyDescent="0.25">
      <c r="C1324" s="37"/>
    </row>
    <row r="1325" spans="3:3" x14ac:dyDescent="0.25">
      <c r="C1325" s="37"/>
    </row>
    <row r="1326" spans="3:3" x14ac:dyDescent="0.25">
      <c r="C1326" s="37"/>
    </row>
    <row r="1327" spans="3:3" x14ac:dyDescent="0.25">
      <c r="C1327" s="37"/>
    </row>
    <row r="1328" spans="3:3" x14ac:dyDescent="0.25">
      <c r="C1328" s="37"/>
    </row>
    <row r="1329" spans="3:3" x14ac:dyDescent="0.25">
      <c r="C1329" s="37"/>
    </row>
    <row r="1330" spans="3:3" x14ac:dyDescent="0.25">
      <c r="C1330" s="37"/>
    </row>
    <row r="1331" spans="3:3" x14ac:dyDescent="0.25">
      <c r="C1331" s="37"/>
    </row>
    <row r="1332" spans="3:3" x14ac:dyDescent="0.25">
      <c r="C1332" s="37"/>
    </row>
    <row r="1333" spans="3:3" x14ac:dyDescent="0.25">
      <c r="C1333" s="37"/>
    </row>
    <row r="1334" spans="3:3" x14ac:dyDescent="0.25">
      <c r="C1334" s="37"/>
    </row>
    <row r="1335" spans="3:3" x14ac:dyDescent="0.25">
      <c r="C1335" s="37"/>
    </row>
    <row r="1336" spans="3:3" x14ac:dyDescent="0.25">
      <c r="C1336" s="37"/>
    </row>
    <row r="1337" spans="3:3" x14ac:dyDescent="0.25">
      <c r="C1337" s="37"/>
    </row>
    <row r="1338" spans="3:3" x14ac:dyDescent="0.25">
      <c r="C1338" s="37"/>
    </row>
    <row r="1339" spans="3:3" x14ac:dyDescent="0.25">
      <c r="C1339" s="37"/>
    </row>
    <row r="1340" spans="3:3" x14ac:dyDescent="0.25">
      <c r="C1340" s="37"/>
    </row>
    <row r="1341" spans="3:3" x14ac:dyDescent="0.25">
      <c r="C1341" s="37"/>
    </row>
    <row r="1342" spans="3:3" x14ac:dyDescent="0.25">
      <c r="C1342" s="37"/>
    </row>
    <row r="1343" spans="3:3" x14ac:dyDescent="0.25">
      <c r="C1343" s="37"/>
    </row>
    <row r="1344" spans="3:3" x14ac:dyDescent="0.25">
      <c r="C1344" s="37"/>
    </row>
    <row r="1345" spans="3:3" x14ac:dyDescent="0.25">
      <c r="C1345" s="37"/>
    </row>
    <row r="1346" spans="3:3" x14ac:dyDescent="0.25">
      <c r="C1346" s="37"/>
    </row>
    <row r="1347" spans="3:3" x14ac:dyDescent="0.25">
      <c r="C1347" s="37"/>
    </row>
    <row r="1348" spans="3:3" x14ac:dyDescent="0.25">
      <c r="C1348" s="37"/>
    </row>
    <row r="1349" spans="3:3" x14ac:dyDescent="0.25">
      <c r="C1349" s="37"/>
    </row>
    <row r="1350" spans="3:3" x14ac:dyDescent="0.25">
      <c r="C1350" s="37"/>
    </row>
    <row r="1351" spans="3:3" x14ac:dyDescent="0.25">
      <c r="C1351" s="37"/>
    </row>
    <row r="1352" spans="3:3" x14ac:dyDescent="0.25">
      <c r="C1352" s="37"/>
    </row>
    <row r="1353" spans="3:3" x14ac:dyDescent="0.25">
      <c r="C1353" s="37"/>
    </row>
    <row r="1354" spans="3:3" x14ac:dyDescent="0.25">
      <c r="C1354" s="37"/>
    </row>
    <row r="1355" spans="3:3" x14ac:dyDescent="0.25">
      <c r="C1355" s="37"/>
    </row>
    <row r="1356" spans="3:3" x14ac:dyDescent="0.25">
      <c r="C1356" s="37"/>
    </row>
    <row r="1357" spans="3:3" x14ac:dyDescent="0.25">
      <c r="C1357" s="37"/>
    </row>
    <row r="1358" spans="3:3" x14ac:dyDescent="0.25">
      <c r="C1358" s="37"/>
    </row>
    <row r="1359" spans="3:3" x14ac:dyDescent="0.25">
      <c r="C1359" s="37"/>
    </row>
    <row r="1360" spans="3:3" x14ac:dyDescent="0.25">
      <c r="C1360" s="37"/>
    </row>
    <row r="1361" spans="3:3" x14ac:dyDescent="0.25">
      <c r="C1361" s="37"/>
    </row>
    <row r="1362" spans="3:3" x14ac:dyDescent="0.25">
      <c r="C1362" s="37"/>
    </row>
    <row r="1363" spans="3:3" x14ac:dyDescent="0.25">
      <c r="C1363" s="37"/>
    </row>
    <row r="1364" spans="3:3" x14ac:dyDescent="0.25">
      <c r="C1364" s="37"/>
    </row>
    <row r="1365" spans="3:3" x14ac:dyDescent="0.25">
      <c r="C1365" s="37"/>
    </row>
    <row r="1366" spans="3:3" x14ac:dyDescent="0.25">
      <c r="C1366" s="37"/>
    </row>
    <row r="1367" spans="3:3" x14ac:dyDescent="0.25">
      <c r="C1367" s="37"/>
    </row>
    <row r="1368" spans="3:3" x14ac:dyDescent="0.25">
      <c r="C1368" s="37"/>
    </row>
    <row r="1369" spans="3:3" x14ac:dyDescent="0.25">
      <c r="C1369" s="37"/>
    </row>
    <row r="1370" spans="3:3" x14ac:dyDescent="0.25">
      <c r="C1370" s="37"/>
    </row>
    <row r="1371" spans="3:3" x14ac:dyDescent="0.25">
      <c r="C1371" s="37"/>
    </row>
    <row r="1372" spans="3:3" x14ac:dyDescent="0.25">
      <c r="C1372" s="37"/>
    </row>
    <row r="1373" spans="3:3" x14ac:dyDescent="0.25">
      <c r="C1373" s="37"/>
    </row>
    <row r="1374" spans="3:3" x14ac:dyDescent="0.25">
      <c r="C1374" s="37"/>
    </row>
    <row r="1375" spans="3:3" x14ac:dyDescent="0.25">
      <c r="C1375" s="37"/>
    </row>
    <row r="1376" spans="3:3" x14ac:dyDescent="0.25">
      <c r="C1376" s="37"/>
    </row>
    <row r="1377" spans="3:3" x14ac:dyDescent="0.25">
      <c r="C1377" s="37"/>
    </row>
    <row r="1378" spans="3:3" x14ac:dyDescent="0.25">
      <c r="C1378" s="37"/>
    </row>
    <row r="1379" spans="3:3" x14ac:dyDescent="0.25">
      <c r="C1379" s="37"/>
    </row>
    <row r="1380" spans="3:3" x14ac:dyDescent="0.25">
      <c r="C1380" s="37"/>
    </row>
    <row r="1381" spans="3:3" x14ac:dyDescent="0.25">
      <c r="C1381" s="37"/>
    </row>
    <row r="1382" spans="3:3" x14ac:dyDescent="0.25">
      <c r="C1382" s="37"/>
    </row>
    <row r="1383" spans="3:3" x14ac:dyDescent="0.25">
      <c r="C1383" s="37"/>
    </row>
    <row r="1384" spans="3:3" x14ac:dyDescent="0.25">
      <c r="C1384" s="37"/>
    </row>
    <row r="1385" spans="3:3" x14ac:dyDescent="0.25">
      <c r="C1385" s="37"/>
    </row>
    <row r="1386" spans="3:3" x14ac:dyDescent="0.25">
      <c r="C1386" s="37"/>
    </row>
    <row r="1387" spans="3:3" x14ac:dyDescent="0.25">
      <c r="C1387" s="37"/>
    </row>
    <row r="1388" spans="3:3" x14ac:dyDescent="0.25">
      <c r="C1388" s="37"/>
    </row>
    <row r="1389" spans="3:3" x14ac:dyDescent="0.25">
      <c r="C1389" s="37"/>
    </row>
    <row r="1390" spans="3:3" x14ac:dyDescent="0.25">
      <c r="C1390" s="37"/>
    </row>
    <row r="1391" spans="3:3" x14ac:dyDescent="0.25">
      <c r="C1391" s="37"/>
    </row>
    <row r="1392" spans="3:3" x14ac:dyDescent="0.25">
      <c r="C1392" s="37"/>
    </row>
    <row r="1393" spans="3:3" x14ac:dyDescent="0.25">
      <c r="C1393" s="37"/>
    </row>
    <row r="1394" spans="3:3" x14ac:dyDescent="0.25">
      <c r="C1394" s="37"/>
    </row>
    <row r="1395" spans="3:3" x14ac:dyDescent="0.25">
      <c r="C1395" s="37"/>
    </row>
    <row r="1396" spans="3:3" x14ac:dyDescent="0.25">
      <c r="C1396" s="37"/>
    </row>
    <row r="1397" spans="3:3" x14ac:dyDescent="0.25">
      <c r="C1397" s="37"/>
    </row>
    <row r="1398" spans="3:3" x14ac:dyDescent="0.25">
      <c r="C1398" s="37"/>
    </row>
    <row r="1399" spans="3:3" x14ac:dyDescent="0.25">
      <c r="C1399" s="37"/>
    </row>
    <row r="1400" spans="3:3" x14ac:dyDescent="0.25">
      <c r="C1400" s="37"/>
    </row>
    <row r="1401" spans="3:3" x14ac:dyDescent="0.25">
      <c r="C1401" s="37"/>
    </row>
    <row r="1402" spans="3:3" x14ac:dyDescent="0.25">
      <c r="C1402" s="37"/>
    </row>
    <row r="1403" spans="3:3" x14ac:dyDescent="0.25">
      <c r="C1403" s="37"/>
    </row>
    <row r="1404" spans="3:3" x14ac:dyDescent="0.25">
      <c r="C1404" s="37"/>
    </row>
    <row r="1405" spans="3:3" x14ac:dyDescent="0.25">
      <c r="C1405" s="37"/>
    </row>
    <row r="1406" spans="3:3" x14ac:dyDescent="0.25">
      <c r="C1406" s="37"/>
    </row>
    <row r="1407" spans="3:3" x14ac:dyDescent="0.25">
      <c r="C1407" s="37"/>
    </row>
    <row r="1408" spans="3:3" x14ac:dyDescent="0.25">
      <c r="C1408" s="37"/>
    </row>
    <row r="1409" spans="3:3" x14ac:dyDescent="0.25">
      <c r="C1409" s="37"/>
    </row>
    <row r="1410" spans="3:3" x14ac:dyDescent="0.25">
      <c r="C1410" s="37"/>
    </row>
    <row r="1411" spans="3:3" x14ac:dyDescent="0.25">
      <c r="C1411" s="37"/>
    </row>
    <row r="1412" spans="3:3" x14ac:dyDescent="0.25">
      <c r="C1412" s="37"/>
    </row>
    <row r="1413" spans="3:3" x14ac:dyDescent="0.25">
      <c r="C1413" s="37"/>
    </row>
    <row r="1414" spans="3:3" x14ac:dyDescent="0.25">
      <c r="C1414" s="37"/>
    </row>
    <row r="1415" spans="3:3" x14ac:dyDescent="0.25">
      <c r="C1415" s="37"/>
    </row>
    <row r="1416" spans="3:3" x14ac:dyDescent="0.25">
      <c r="C1416" s="37"/>
    </row>
    <row r="1417" spans="3:3" x14ac:dyDescent="0.25">
      <c r="C1417" s="37"/>
    </row>
    <row r="1418" spans="3:3" x14ac:dyDescent="0.25">
      <c r="C1418" s="37"/>
    </row>
    <row r="1419" spans="3:3" x14ac:dyDescent="0.25">
      <c r="C1419" s="37"/>
    </row>
    <row r="1420" spans="3:3" x14ac:dyDescent="0.25">
      <c r="C1420" s="37"/>
    </row>
    <row r="1421" spans="3:3" x14ac:dyDescent="0.25">
      <c r="C1421" s="37"/>
    </row>
    <row r="1422" spans="3:3" x14ac:dyDescent="0.25">
      <c r="C1422" s="37"/>
    </row>
    <row r="1423" spans="3:3" x14ac:dyDescent="0.25">
      <c r="C1423" s="37"/>
    </row>
    <row r="1424" spans="3:3" x14ac:dyDescent="0.25">
      <c r="C1424" s="37"/>
    </row>
    <row r="1425" spans="3:3" x14ac:dyDescent="0.25">
      <c r="C1425" s="37"/>
    </row>
    <row r="1426" spans="3:3" x14ac:dyDescent="0.25">
      <c r="C1426" s="37"/>
    </row>
    <row r="1427" spans="3:3" x14ac:dyDescent="0.25">
      <c r="C1427" s="37"/>
    </row>
    <row r="1428" spans="3:3" x14ac:dyDescent="0.25">
      <c r="C1428" s="37"/>
    </row>
    <row r="1429" spans="3:3" x14ac:dyDescent="0.25">
      <c r="C1429" s="37"/>
    </row>
    <row r="1430" spans="3:3" x14ac:dyDescent="0.25">
      <c r="C1430" s="37"/>
    </row>
    <row r="1431" spans="3:3" x14ac:dyDescent="0.25">
      <c r="C1431" s="37"/>
    </row>
    <row r="1432" spans="3:3" x14ac:dyDescent="0.25">
      <c r="C1432" s="37"/>
    </row>
    <row r="1433" spans="3:3" x14ac:dyDescent="0.25">
      <c r="C1433" s="37"/>
    </row>
    <row r="1434" spans="3:3" x14ac:dyDescent="0.25">
      <c r="C1434" s="37"/>
    </row>
    <row r="1435" spans="3:3" x14ac:dyDescent="0.25">
      <c r="C1435" s="37"/>
    </row>
    <row r="1436" spans="3:3" x14ac:dyDescent="0.25">
      <c r="C1436" s="37"/>
    </row>
    <row r="1437" spans="3:3" x14ac:dyDescent="0.25">
      <c r="C1437" s="37"/>
    </row>
    <row r="1438" spans="3:3" x14ac:dyDescent="0.25">
      <c r="C1438" s="37"/>
    </row>
    <row r="1439" spans="3:3" x14ac:dyDescent="0.25">
      <c r="C1439" s="37"/>
    </row>
    <row r="1440" spans="3:3" x14ac:dyDescent="0.25">
      <c r="C1440" s="37"/>
    </row>
    <row r="1441" spans="3:3" x14ac:dyDescent="0.25">
      <c r="C1441" s="37"/>
    </row>
    <row r="1442" spans="3:3" x14ac:dyDescent="0.25">
      <c r="C1442" s="37"/>
    </row>
    <row r="1443" spans="3:3" x14ac:dyDescent="0.25">
      <c r="C1443" s="37"/>
    </row>
    <row r="1444" spans="3:3" x14ac:dyDescent="0.25">
      <c r="C1444" s="37"/>
    </row>
    <row r="1445" spans="3:3" x14ac:dyDescent="0.25">
      <c r="C1445" s="37"/>
    </row>
    <row r="1446" spans="3:3" x14ac:dyDescent="0.25">
      <c r="C1446" s="37"/>
    </row>
    <row r="1447" spans="3:3" x14ac:dyDescent="0.25">
      <c r="C1447" s="37"/>
    </row>
    <row r="1448" spans="3:3" x14ac:dyDescent="0.25">
      <c r="C1448" s="37"/>
    </row>
    <row r="1449" spans="3:3" x14ac:dyDescent="0.25">
      <c r="C1449" s="37"/>
    </row>
    <row r="1450" spans="3:3" x14ac:dyDescent="0.25">
      <c r="C1450" s="37"/>
    </row>
    <row r="1451" spans="3:3" x14ac:dyDescent="0.25">
      <c r="C1451" s="37"/>
    </row>
    <row r="1452" spans="3:3" x14ac:dyDescent="0.25">
      <c r="C1452" s="37"/>
    </row>
    <row r="1453" spans="3:3" x14ac:dyDescent="0.25">
      <c r="C1453" s="37"/>
    </row>
    <row r="1454" spans="3:3" x14ac:dyDescent="0.25">
      <c r="C1454" s="37"/>
    </row>
    <row r="1455" spans="3:3" x14ac:dyDescent="0.25">
      <c r="C1455" s="37"/>
    </row>
    <row r="1456" spans="3:3" x14ac:dyDescent="0.25">
      <c r="C1456" s="37"/>
    </row>
    <row r="1457" spans="3:3" x14ac:dyDescent="0.25">
      <c r="C1457" s="37"/>
    </row>
    <row r="1458" spans="3:3" x14ac:dyDescent="0.25">
      <c r="C1458" s="37"/>
    </row>
    <row r="1459" spans="3:3" x14ac:dyDescent="0.25">
      <c r="C1459" s="37"/>
    </row>
    <row r="1460" spans="3:3" x14ac:dyDescent="0.25">
      <c r="C1460" s="37"/>
    </row>
    <row r="1461" spans="3:3" x14ac:dyDescent="0.25">
      <c r="C1461" s="37"/>
    </row>
    <row r="1462" spans="3:3" x14ac:dyDescent="0.25">
      <c r="C1462" s="37"/>
    </row>
    <row r="1463" spans="3:3" x14ac:dyDescent="0.25">
      <c r="C1463" s="37"/>
    </row>
    <row r="1464" spans="3:3" x14ac:dyDescent="0.25">
      <c r="C1464" s="37"/>
    </row>
    <row r="1465" spans="3:3" x14ac:dyDescent="0.25">
      <c r="C1465" s="37"/>
    </row>
    <row r="1466" spans="3:3" x14ac:dyDescent="0.25">
      <c r="C1466" s="37"/>
    </row>
    <row r="1467" spans="3:3" x14ac:dyDescent="0.25">
      <c r="C1467" s="37"/>
    </row>
    <row r="1468" spans="3:3" x14ac:dyDescent="0.25">
      <c r="C1468" s="37"/>
    </row>
    <row r="1469" spans="3:3" x14ac:dyDescent="0.25">
      <c r="C1469" s="37"/>
    </row>
    <row r="1470" spans="3:3" x14ac:dyDescent="0.25">
      <c r="C1470" s="37"/>
    </row>
    <row r="1471" spans="3:3" x14ac:dyDescent="0.25">
      <c r="C1471" s="37"/>
    </row>
    <row r="1472" spans="3:3" x14ac:dyDescent="0.25">
      <c r="C1472" s="37"/>
    </row>
    <row r="1473" spans="3:3" x14ac:dyDescent="0.25">
      <c r="C1473" s="37"/>
    </row>
    <row r="1474" spans="3:3" x14ac:dyDescent="0.25">
      <c r="C1474" s="37"/>
    </row>
    <row r="1475" spans="3:3" x14ac:dyDescent="0.25">
      <c r="C1475" s="37"/>
    </row>
    <row r="1476" spans="3:3" x14ac:dyDescent="0.25">
      <c r="C1476" s="37"/>
    </row>
    <row r="1477" spans="3:3" x14ac:dyDescent="0.25">
      <c r="C1477" s="37"/>
    </row>
    <row r="1478" spans="3:3" x14ac:dyDescent="0.25">
      <c r="C1478" s="37"/>
    </row>
    <row r="1479" spans="3:3" x14ac:dyDescent="0.25">
      <c r="C1479" s="37"/>
    </row>
    <row r="1480" spans="3:3" x14ac:dyDescent="0.25">
      <c r="C1480" s="37"/>
    </row>
    <row r="1481" spans="3:3" x14ac:dyDescent="0.25">
      <c r="C1481" s="37"/>
    </row>
    <row r="1482" spans="3:3" x14ac:dyDescent="0.25">
      <c r="C1482" s="37"/>
    </row>
    <row r="1483" spans="3:3" x14ac:dyDescent="0.25">
      <c r="C1483" s="37"/>
    </row>
    <row r="1484" spans="3:3" x14ac:dyDescent="0.25">
      <c r="C1484" s="37"/>
    </row>
    <row r="1485" spans="3:3" x14ac:dyDescent="0.25">
      <c r="C1485" s="37"/>
    </row>
    <row r="1486" spans="3:3" x14ac:dyDescent="0.25">
      <c r="C1486" s="37"/>
    </row>
    <row r="1487" spans="3:3" x14ac:dyDescent="0.25">
      <c r="C1487" s="37"/>
    </row>
    <row r="1488" spans="3:3" x14ac:dyDescent="0.25">
      <c r="C1488" s="37"/>
    </row>
    <row r="1489" spans="3:3" x14ac:dyDescent="0.25">
      <c r="C1489" s="37"/>
    </row>
    <row r="1490" spans="3:3" x14ac:dyDescent="0.25">
      <c r="C1490" s="37"/>
    </row>
    <row r="1491" spans="3:3" x14ac:dyDescent="0.25">
      <c r="C1491" s="37"/>
    </row>
    <row r="1492" spans="3:3" x14ac:dyDescent="0.25">
      <c r="C1492" s="37"/>
    </row>
    <row r="1493" spans="3:3" x14ac:dyDescent="0.25">
      <c r="C1493" s="37"/>
    </row>
    <row r="1494" spans="3:3" x14ac:dyDescent="0.25">
      <c r="C1494" s="37"/>
    </row>
    <row r="1495" spans="3:3" x14ac:dyDescent="0.25">
      <c r="C1495" s="37"/>
    </row>
    <row r="1496" spans="3:3" x14ac:dyDescent="0.25">
      <c r="C1496" s="37"/>
    </row>
    <row r="1497" spans="3:3" x14ac:dyDescent="0.25">
      <c r="C1497" s="37"/>
    </row>
    <row r="1498" spans="3:3" x14ac:dyDescent="0.25">
      <c r="C1498" s="37"/>
    </row>
    <row r="1499" spans="3:3" x14ac:dyDescent="0.25">
      <c r="C1499" s="37"/>
    </row>
    <row r="1500" spans="3:3" x14ac:dyDescent="0.25">
      <c r="C1500" s="37"/>
    </row>
    <row r="1501" spans="3:3" x14ac:dyDescent="0.25">
      <c r="C1501" s="37"/>
    </row>
    <row r="1502" spans="3:3" x14ac:dyDescent="0.25">
      <c r="C1502" s="37"/>
    </row>
    <row r="1503" spans="3:3" x14ac:dyDescent="0.25">
      <c r="C1503" s="37"/>
    </row>
    <row r="1504" spans="3:3" x14ac:dyDescent="0.25">
      <c r="C1504" s="37"/>
    </row>
    <row r="1505" spans="3:3" x14ac:dyDescent="0.25">
      <c r="C1505" s="37"/>
    </row>
    <row r="1506" spans="3:3" x14ac:dyDescent="0.25">
      <c r="C1506" s="37"/>
    </row>
    <row r="1507" spans="3:3" x14ac:dyDescent="0.25">
      <c r="C1507" s="37"/>
    </row>
    <row r="1508" spans="3:3" x14ac:dyDescent="0.25">
      <c r="C1508" s="37"/>
    </row>
    <row r="1509" spans="3:3" x14ac:dyDescent="0.25">
      <c r="C1509" s="37"/>
    </row>
    <row r="1510" spans="3:3" x14ac:dyDescent="0.25">
      <c r="C1510" s="37"/>
    </row>
    <row r="1511" spans="3:3" x14ac:dyDescent="0.25">
      <c r="C1511" s="37"/>
    </row>
    <row r="1512" spans="3:3" x14ac:dyDescent="0.25">
      <c r="C1512" s="37"/>
    </row>
    <row r="1513" spans="3:3" x14ac:dyDescent="0.25">
      <c r="C1513" s="37"/>
    </row>
    <row r="1514" spans="3:3" x14ac:dyDescent="0.25">
      <c r="C1514" s="37"/>
    </row>
    <row r="1515" spans="3:3" x14ac:dyDescent="0.25">
      <c r="C1515" s="37"/>
    </row>
    <row r="1516" spans="3:3" x14ac:dyDescent="0.25">
      <c r="C1516" s="37"/>
    </row>
    <row r="1517" spans="3:3" x14ac:dyDescent="0.25">
      <c r="C1517" s="37"/>
    </row>
    <row r="1518" spans="3:3" x14ac:dyDescent="0.25">
      <c r="C1518" s="37"/>
    </row>
    <row r="1519" spans="3:3" x14ac:dyDescent="0.25">
      <c r="C1519" s="37"/>
    </row>
    <row r="1520" spans="3:3" x14ac:dyDescent="0.25">
      <c r="C1520" s="37"/>
    </row>
    <row r="1521" spans="3:3" x14ac:dyDescent="0.25">
      <c r="C1521" s="37"/>
    </row>
    <row r="1522" spans="3:3" x14ac:dyDescent="0.25">
      <c r="C1522" s="37"/>
    </row>
    <row r="1523" spans="3:3" x14ac:dyDescent="0.25">
      <c r="C1523" s="37"/>
    </row>
    <row r="1524" spans="3:3" x14ac:dyDescent="0.25">
      <c r="C1524" s="37"/>
    </row>
    <row r="1525" spans="3:3" x14ac:dyDescent="0.25">
      <c r="C1525" s="37"/>
    </row>
    <row r="1526" spans="3:3" x14ac:dyDescent="0.25">
      <c r="C1526" s="37"/>
    </row>
    <row r="1527" spans="3:3" x14ac:dyDescent="0.25">
      <c r="C1527" s="37"/>
    </row>
    <row r="1528" spans="3:3" x14ac:dyDescent="0.25">
      <c r="C1528" s="37"/>
    </row>
    <row r="1529" spans="3:3" x14ac:dyDescent="0.25">
      <c r="C1529" s="37"/>
    </row>
    <row r="1530" spans="3:3" x14ac:dyDescent="0.25">
      <c r="C1530" s="37"/>
    </row>
    <row r="1531" spans="3:3" x14ac:dyDescent="0.25">
      <c r="C1531" s="37"/>
    </row>
    <row r="1532" spans="3:3" x14ac:dyDescent="0.25">
      <c r="C1532" s="37"/>
    </row>
    <row r="1533" spans="3:3" x14ac:dyDescent="0.25">
      <c r="C1533" s="37"/>
    </row>
    <row r="1534" spans="3:3" x14ac:dyDescent="0.25">
      <c r="C1534" s="37"/>
    </row>
    <row r="1535" spans="3:3" x14ac:dyDescent="0.25">
      <c r="C1535" s="37"/>
    </row>
    <row r="1536" spans="3:3" x14ac:dyDescent="0.25">
      <c r="C1536" s="37"/>
    </row>
    <row r="1537" spans="3:3" x14ac:dyDescent="0.25">
      <c r="C1537" s="37"/>
    </row>
    <row r="1538" spans="3:3" x14ac:dyDescent="0.25">
      <c r="C1538" s="37"/>
    </row>
    <row r="1539" spans="3:3" x14ac:dyDescent="0.25">
      <c r="C1539" s="37"/>
    </row>
    <row r="1540" spans="3:3" x14ac:dyDescent="0.25">
      <c r="C1540" s="37"/>
    </row>
    <row r="1541" spans="3:3" x14ac:dyDescent="0.25">
      <c r="C1541" s="37"/>
    </row>
    <row r="1542" spans="3:3" x14ac:dyDescent="0.25">
      <c r="C1542" s="37"/>
    </row>
    <row r="1543" spans="3:3" x14ac:dyDescent="0.25">
      <c r="C1543" s="37"/>
    </row>
    <row r="1544" spans="3:3" x14ac:dyDescent="0.25">
      <c r="C1544" s="37"/>
    </row>
    <row r="1545" spans="3:3" x14ac:dyDescent="0.25">
      <c r="C1545" s="37"/>
    </row>
    <row r="1546" spans="3:3" x14ac:dyDescent="0.25">
      <c r="C1546" s="37"/>
    </row>
    <row r="1547" spans="3:3" x14ac:dyDescent="0.25">
      <c r="C1547" s="37"/>
    </row>
    <row r="1548" spans="3:3" x14ac:dyDescent="0.25">
      <c r="C1548" s="37"/>
    </row>
    <row r="1549" spans="3:3" x14ac:dyDescent="0.25">
      <c r="C1549" s="37"/>
    </row>
    <row r="1550" spans="3:3" x14ac:dyDescent="0.25">
      <c r="C1550" s="37"/>
    </row>
    <row r="1551" spans="3:3" x14ac:dyDescent="0.25">
      <c r="C1551" s="37"/>
    </row>
    <row r="1552" spans="3:3" x14ac:dyDescent="0.25">
      <c r="C1552" s="37"/>
    </row>
    <row r="1553" spans="3:3" x14ac:dyDescent="0.25">
      <c r="C1553" s="37"/>
    </row>
    <row r="1554" spans="3:3" x14ac:dyDescent="0.25">
      <c r="C1554" s="37"/>
    </row>
    <row r="1555" spans="3:3" x14ac:dyDescent="0.25">
      <c r="C1555" s="37"/>
    </row>
    <row r="1556" spans="3:3" x14ac:dyDescent="0.25">
      <c r="C1556" s="37"/>
    </row>
    <row r="1557" spans="3:3" x14ac:dyDescent="0.25">
      <c r="C1557" s="37"/>
    </row>
    <row r="1558" spans="3:3" x14ac:dyDescent="0.25">
      <c r="C1558" s="37"/>
    </row>
    <row r="1559" spans="3:3" x14ac:dyDescent="0.25">
      <c r="C1559" s="37"/>
    </row>
    <row r="1560" spans="3:3" x14ac:dyDescent="0.25">
      <c r="C1560" s="37"/>
    </row>
    <row r="1561" spans="3:3" x14ac:dyDescent="0.25">
      <c r="C1561" s="37"/>
    </row>
    <row r="1562" spans="3:3" x14ac:dyDescent="0.25">
      <c r="C1562" s="37"/>
    </row>
    <row r="1563" spans="3:3" x14ac:dyDescent="0.25">
      <c r="C1563" s="37"/>
    </row>
    <row r="1564" spans="3:3" x14ac:dyDescent="0.25">
      <c r="C1564" s="37"/>
    </row>
    <row r="1565" spans="3:3" x14ac:dyDescent="0.25">
      <c r="C1565" s="37"/>
    </row>
    <row r="1566" spans="3:3" x14ac:dyDescent="0.25">
      <c r="C1566" s="37"/>
    </row>
    <row r="1567" spans="3:3" x14ac:dyDescent="0.25">
      <c r="C1567" s="37"/>
    </row>
    <row r="1568" spans="3:3" x14ac:dyDescent="0.25">
      <c r="C1568" s="37"/>
    </row>
    <row r="1569" spans="3:3" x14ac:dyDescent="0.25">
      <c r="C1569" s="37"/>
    </row>
    <row r="1570" spans="3:3" x14ac:dyDescent="0.25">
      <c r="C1570" s="37"/>
    </row>
    <row r="1571" spans="3:3" x14ac:dyDescent="0.25">
      <c r="C1571" s="37"/>
    </row>
    <row r="1572" spans="3:3" x14ac:dyDescent="0.25">
      <c r="C1572" s="37"/>
    </row>
    <row r="1573" spans="3:3" x14ac:dyDescent="0.25">
      <c r="C1573" s="37"/>
    </row>
    <row r="1574" spans="3:3" x14ac:dyDescent="0.25">
      <c r="C1574" s="37"/>
    </row>
    <row r="1575" spans="3:3" x14ac:dyDescent="0.25">
      <c r="C1575" s="37"/>
    </row>
    <row r="1576" spans="3:3" x14ac:dyDescent="0.25">
      <c r="C1576" s="37"/>
    </row>
    <row r="1577" spans="3:3" x14ac:dyDescent="0.25">
      <c r="C1577" s="37"/>
    </row>
    <row r="1578" spans="3:3" x14ac:dyDescent="0.25">
      <c r="C1578" s="37"/>
    </row>
    <row r="1579" spans="3:3" x14ac:dyDescent="0.25">
      <c r="C1579" s="37"/>
    </row>
    <row r="1580" spans="3:3" x14ac:dyDescent="0.25">
      <c r="C1580" s="37"/>
    </row>
    <row r="1581" spans="3:3" x14ac:dyDescent="0.25">
      <c r="C1581" s="37"/>
    </row>
    <row r="1582" spans="3:3" x14ac:dyDescent="0.25">
      <c r="C1582" s="37"/>
    </row>
    <row r="1583" spans="3:3" x14ac:dyDescent="0.25">
      <c r="C1583" s="37"/>
    </row>
    <row r="1584" spans="3:3" x14ac:dyDescent="0.25">
      <c r="C1584" s="37"/>
    </row>
    <row r="1585" spans="3:3" x14ac:dyDescent="0.25">
      <c r="C1585" s="37"/>
    </row>
    <row r="1586" spans="3:3" x14ac:dyDescent="0.25">
      <c r="C1586" s="37"/>
    </row>
    <row r="1587" spans="3:3" x14ac:dyDescent="0.25">
      <c r="C1587" s="37"/>
    </row>
    <row r="1588" spans="3:3" x14ac:dyDescent="0.25">
      <c r="C1588" s="37"/>
    </row>
    <row r="1589" spans="3:3" x14ac:dyDescent="0.25">
      <c r="C1589" s="37"/>
    </row>
    <row r="1590" spans="3:3" x14ac:dyDescent="0.25">
      <c r="C1590" s="37"/>
    </row>
    <row r="1591" spans="3:3" x14ac:dyDescent="0.25">
      <c r="C1591" s="37"/>
    </row>
    <row r="1592" spans="3:3" x14ac:dyDescent="0.25">
      <c r="C1592" s="37"/>
    </row>
    <row r="1593" spans="3:3" x14ac:dyDescent="0.25">
      <c r="C1593" s="37"/>
    </row>
    <row r="1594" spans="3:3" x14ac:dyDescent="0.25">
      <c r="C1594" s="37"/>
    </row>
    <row r="1595" spans="3:3" x14ac:dyDescent="0.25">
      <c r="C1595" s="37"/>
    </row>
    <row r="1596" spans="3:3" x14ac:dyDescent="0.25">
      <c r="C1596" s="37"/>
    </row>
    <row r="1597" spans="3:3" x14ac:dyDescent="0.25">
      <c r="C1597" s="37"/>
    </row>
    <row r="1598" spans="3:3" x14ac:dyDescent="0.25">
      <c r="C1598" s="37"/>
    </row>
    <row r="1599" spans="3:3" x14ac:dyDescent="0.25">
      <c r="C1599" s="37"/>
    </row>
    <row r="1600" spans="3:3" x14ac:dyDescent="0.25">
      <c r="C1600" s="37"/>
    </row>
    <row r="1601" spans="3:3" x14ac:dyDescent="0.25">
      <c r="C1601" s="37"/>
    </row>
    <row r="1602" spans="3:3" x14ac:dyDescent="0.25">
      <c r="C1602" s="37"/>
    </row>
    <row r="1603" spans="3:3" x14ac:dyDescent="0.25">
      <c r="C1603" s="37"/>
    </row>
    <row r="1604" spans="3:3" x14ac:dyDescent="0.25">
      <c r="C1604" s="37"/>
    </row>
    <row r="1605" spans="3:3" x14ac:dyDescent="0.25">
      <c r="C1605" s="37"/>
    </row>
    <row r="1606" spans="3:3" x14ac:dyDescent="0.25">
      <c r="C1606" s="37"/>
    </row>
    <row r="1607" spans="3:3" x14ac:dyDescent="0.25">
      <c r="C1607" s="37"/>
    </row>
    <row r="1608" spans="3:3" x14ac:dyDescent="0.25">
      <c r="C1608" s="37"/>
    </row>
    <row r="1609" spans="3:3" x14ac:dyDescent="0.25">
      <c r="C1609" s="37"/>
    </row>
    <row r="1610" spans="3:3" x14ac:dyDescent="0.25">
      <c r="C1610" s="37"/>
    </row>
    <row r="1611" spans="3:3" x14ac:dyDescent="0.25">
      <c r="C1611" s="37"/>
    </row>
    <row r="1612" spans="3:3" x14ac:dyDescent="0.25">
      <c r="C1612" s="37"/>
    </row>
    <row r="1613" spans="3:3" x14ac:dyDescent="0.25">
      <c r="C1613" s="37"/>
    </row>
    <row r="1614" spans="3:3" x14ac:dyDescent="0.25">
      <c r="C1614" s="37"/>
    </row>
    <row r="1615" spans="3:3" x14ac:dyDescent="0.25">
      <c r="C1615" s="37"/>
    </row>
    <row r="1616" spans="3:3" x14ac:dyDescent="0.25">
      <c r="C1616" s="37"/>
    </row>
    <row r="1617" spans="3:3" x14ac:dyDescent="0.25">
      <c r="C1617" s="37"/>
    </row>
    <row r="1618" spans="3:3" x14ac:dyDescent="0.25">
      <c r="C1618" s="37"/>
    </row>
    <row r="1619" spans="3:3" x14ac:dyDescent="0.25">
      <c r="C1619" s="37"/>
    </row>
    <row r="1620" spans="3:3" x14ac:dyDescent="0.25">
      <c r="C1620" s="37"/>
    </row>
    <row r="1621" spans="3:3" x14ac:dyDescent="0.25">
      <c r="C1621" s="37"/>
    </row>
    <row r="1622" spans="3:3" x14ac:dyDescent="0.25">
      <c r="C1622" s="37"/>
    </row>
    <row r="1623" spans="3:3" x14ac:dyDescent="0.25">
      <c r="C1623" s="37"/>
    </row>
    <row r="1624" spans="3:3" x14ac:dyDescent="0.25">
      <c r="C1624" s="37"/>
    </row>
    <row r="1625" spans="3:3" x14ac:dyDescent="0.25">
      <c r="C1625" s="37"/>
    </row>
    <row r="1626" spans="3:3" x14ac:dyDescent="0.25">
      <c r="C1626" s="37"/>
    </row>
    <row r="1627" spans="3:3" x14ac:dyDescent="0.25">
      <c r="C1627" s="37"/>
    </row>
    <row r="1628" spans="3:3" x14ac:dyDescent="0.25">
      <c r="C1628" s="37"/>
    </row>
    <row r="1629" spans="3:3" x14ac:dyDescent="0.25">
      <c r="C1629" s="37"/>
    </row>
    <row r="1630" spans="3:3" x14ac:dyDescent="0.25">
      <c r="C1630" s="37"/>
    </row>
    <row r="1631" spans="3:3" x14ac:dyDescent="0.25">
      <c r="C1631" s="37"/>
    </row>
    <row r="1632" spans="3:3" x14ac:dyDescent="0.25">
      <c r="C1632" s="37"/>
    </row>
    <row r="1633" spans="3:3" x14ac:dyDescent="0.25">
      <c r="C1633" s="37"/>
    </row>
    <row r="1634" spans="3:3" x14ac:dyDescent="0.25">
      <c r="C1634" s="37"/>
    </row>
    <row r="1635" spans="3:3" x14ac:dyDescent="0.25">
      <c r="C1635" s="37"/>
    </row>
    <row r="1636" spans="3:3" x14ac:dyDescent="0.25">
      <c r="C1636" s="37"/>
    </row>
    <row r="1637" spans="3:3" x14ac:dyDescent="0.25">
      <c r="C1637" s="37"/>
    </row>
    <row r="1638" spans="3:3" x14ac:dyDescent="0.25">
      <c r="C1638" s="37"/>
    </row>
    <row r="1639" spans="3:3" x14ac:dyDescent="0.25">
      <c r="C1639" s="37"/>
    </row>
    <row r="1640" spans="3:3" x14ac:dyDescent="0.25">
      <c r="C1640" s="37"/>
    </row>
    <row r="1641" spans="3:3" x14ac:dyDescent="0.25">
      <c r="C1641" s="37"/>
    </row>
    <row r="1642" spans="3:3" x14ac:dyDescent="0.25">
      <c r="C1642" s="37"/>
    </row>
    <row r="1643" spans="3:3" x14ac:dyDescent="0.25">
      <c r="C1643" s="37"/>
    </row>
    <row r="1644" spans="3:3" x14ac:dyDescent="0.25">
      <c r="C1644" s="37"/>
    </row>
    <row r="1645" spans="3:3" x14ac:dyDescent="0.25">
      <c r="C1645" s="37"/>
    </row>
    <row r="1646" spans="3:3" x14ac:dyDescent="0.25">
      <c r="C1646" s="37"/>
    </row>
    <row r="1647" spans="3:3" x14ac:dyDescent="0.25">
      <c r="C1647" s="37"/>
    </row>
    <row r="1648" spans="3:3" x14ac:dyDescent="0.25">
      <c r="C1648" s="37"/>
    </row>
    <row r="1649" spans="3:3" x14ac:dyDescent="0.25">
      <c r="C1649" s="37"/>
    </row>
    <row r="1650" spans="3:3" x14ac:dyDescent="0.25">
      <c r="C1650" s="37"/>
    </row>
    <row r="1651" spans="3:3" x14ac:dyDescent="0.25">
      <c r="C1651" s="37"/>
    </row>
    <row r="1652" spans="3:3" x14ac:dyDescent="0.25">
      <c r="C1652" s="37"/>
    </row>
    <row r="1653" spans="3:3" x14ac:dyDescent="0.25">
      <c r="C1653" s="37"/>
    </row>
    <row r="1654" spans="3:3" x14ac:dyDescent="0.25">
      <c r="C1654" s="37"/>
    </row>
    <row r="1655" spans="3:3" x14ac:dyDescent="0.25">
      <c r="C1655" s="37"/>
    </row>
    <row r="1656" spans="3:3" x14ac:dyDescent="0.25">
      <c r="C1656" s="37"/>
    </row>
    <row r="1657" spans="3:3" x14ac:dyDescent="0.25">
      <c r="C1657" s="37"/>
    </row>
    <row r="1658" spans="3:3" x14ac:dyDescent="0.25">
      <c r="C1658" s="37"/>
    </row>
    <row r="1659" spans="3:3" x14ac:dyDescent="0.25">
      <c r="C1659" s="37"/>
    </row>
    <row r="1660" spans="3:3" x14ac:dyDescent="0.25">
      <c r="C1660" s="37"/>
    </row>
    <row r="1661" spans="3:3" x14ac:dyDescent="0.25">
      <c r="C1661" s="37"/>
    </row>
    <row r="1662" spans="3:3" x14ac:dyDescent="0.25">
      <c r="C1662" s="37"/>
    </row>
    <row r="1663" spans="3:3" x14ac:dyDescent="0.25">
      <c r="C1663" s="37"/>
    </row>
    <row r="1664" spans="3:3" x14ac:dyDescent="0.25">
      <c r="C1664" s="37"/>
    </row>
    <row r="1665" spans="3:3" x14ac:dyDescent="0.25">
      <c r="C1665" s="37"/>
    </row>
    <row r="1666" spans="3:3" x14ac:dyDescent="0.25">
      <c r="C1666" s="37"/>
    </row>
    <row r="1667" spans="3:3" x14ac:dyDescent="0.25">
      <c r="C1667" s="37"/>
    </row>
    <row r="1668" spans="3:3" x14ac:dyDescent="0.25">
      <c r="C1668" s="37"/>
    </row>
    <row r="1669" spans="3:3" x14ac:dyDescent="0.25">
      <c r="C1669" s="37"/>
    </row>
    <row r="1670" spans="3:3" x14ac:dyDescent="0.25">
      <c r="C1670" s="37"/>
    </row>
    <row r="1671" spans="3:3" x14ac:dyDescent="0.25">
      <c r="C1671" s="37"/>
    </row>
    <row r="1672" spans="3:3" x14ac:dyDescent="0.25">
      <c r="C1672" s="37"/>
    </row>
    <row r="1673" spans="3:3" x14ac:dyDescent="0.25">
      <c r="C1673" s="37"/>
    </row>
    <row r="1674" spans="3:3" x14ac:dyDescent="0.25">
      <c r="C1674" s="37"/>
    </row>
    <row r="1675" spans="3:3" x14ac:dyDescent="0.25">
      <c r="C1675" s="37"/>
    </row>
    <row r="1676" spans="3:3" x14ac:dyDescent="0.25">
      <c r="C1676" s="37"/>
    </row>
    <row r="1677" spans="3:3" x14ac:dyDescent="0.25">
      <c r="C1677" s="37"/>
    </row>
    <row r="1678" spans="3:3" x14ac:dyDescent="0.25">
      <c r="C1678" s="37"/>
    </row>
    <row r="1679" spans="3:3" x14ac:dyDescent="0.25">
      <c r="C1679" s="37"/>
    </row>
    <row r="1680" spans="3:3" x14ac:dyDescent="0.25">
      <c r="C1680" s="37"/>
    </row>
    <row r="1681" spans="3:3" x14ac:dyDescent="0.25">
      <c r="C1681" s="37"/>
    </row>
    <row r="1682" spans="3:3" x14ac:dyDescent="0.25">
      <c r="C1682" s="37"/>
    </row>
    <row r="1683" spans="3:3" x14ac:dyDescent="0.25">
      <c r="C1683" s="37"/>
    </row>
    <row r="1684" spans="3:3" x14ac:dyDescent="0.25">
      <c r="C1684" s="37"/>
    </row>
    <row r="1685" spans="3:3" x14ac:dyDescent="0.25">
      <c r="C1685" s="37"/>
    </row>
    <row r="1686" spans="3:3" x14ac:dyDescent="0.25">
      <c r="C1686" s="37"/>
    </row>
    <row r="1687" spans="3:3" x14ac:dyDescent="0.25">
      <c r="C1687" s="37"/>
    </row>
    <row r="1688" spans="3:3" x14ac:dyDescent="0.25">
      <c r="C1688" s="37"/>
    </row>
    <row r="1689" spans="3:3" x14ac:dyDescent="0.25">
      <c r="C1689" s="37"/>
    </row>
    <row r="1690" spans="3:3" x14ac:dyDescent="0.25">
      <c r="C1690" s="37"/>
    </row>
    <row r="1691" spans="3:3" x14ac:dyDescent="0.25">
      <c r="C1691" s="37"/>
    </row>
    <row r="1692" spans="3:3" x14ac:dyDescent="0.25">
      <c r="C1692" s="37"/>
    </row>
    <row r="1693" spans="3:3" x14ac:dyDescent="0.25">
      <c r="C1693" s="37"/>
    </row>
    <row r="1694" spans="3:3" x14ac:dyDescent="0.25">
      <c r="C1694" s="37"/>
    </row>
    <row r="1695" spans="3:3" x14ac:dyDescent="0.25">
      <c r="C1695" s="37"/>
    </row>
    <row r="1696" spans="3:3" x14ac:dyDescent="0.25">
      <c r="C1696" s="37"/>
    </row>
    <row r="1697" spans="3:3" x14ac:dyDescent="0.25">
      <c r="C1697" s="37"/>
    </row>
    <row r="1698" spans="3:3" x14ac:dyDescent="0.25">
      <c r="C1698" s="37"/>
    </row>
    <row r="1699" spans="3:3" x14ac:dyDescent="0.25">
      <c r="C1699" s="37"/>
    </row>
    <row r="1700" spans="3:3" x14ac:dyDescent="0.25">
      <c r="C1700" s="37"/>
    </row>
    <row r="1701" spans="3:3" x14ac:dyDescent="0.25">
      <c r="C1701" s="37"/>
    </row>
    <row r="1702" spans="3:3" x14ac:dyDescent="0.25">
      <c r="C1702" s="37"/>
    </row>
    <row r="1703" spans="3:3" x14ac:dyDescent="0.25">
      <c r="C1703" s="37"/>
    </row>
    <row r="1704" spans="3:3" x14ac:dyDescent="0.25">
      <c r="C1704" s="37"/>
    </row>
    <row r="1705" spans="3:3" x14ac:dyDescent="0.25">
      <c r="C1705" s="37"/>
    </row>
    <row r="1706" spans="3:3" x14ac:dyDescent="0.25">
      <c r="C1706" s="37"/>
    </row>
    <row r="1707" spans="3:3" x14ac:dyDescent="0.25">
      <c r="C1707" s="37"/>
    </row>
    <row r="1708" spans="3:3" x14ac:dyDescent="0.25">
      <c r="C1708" s="37"/>
    </row>
    <row r="1709" spans="3:3" x14ac:dyDescent="0.25">
      <c r="C1709" s="37"/>
    </row>
    <row r="1710" spans="3:3" x14ac:dyDescent="0.25">
      <c r="C1710" s="37"/>
    </row>
    <row r="1711" spans="3:3" x14ac:dyDescent="0.25">
      <c r="C1711" s="37"/>
    </row>
    <row r="1712" spans="3:3" x14ac:dyDescent="0.25">
      <c r="C1712" s="37"/>
    </row>
    <row r="1713" spans="3:3" x14ac:dyDescent="0.25">
      <c r="C1713" s="37"/>
    </row>
    <row r="1714" spans="3:3" x14ac:dyDescent="0.25">
      <c r="C1714" s="37"/>
    </row>
    <row r="1715" spans="3:3" x14ac:dyDescent="0.25">
      <c r="C1715" s="37"/>
    </row>
    <row r="1716" spans="3:3" x14ac:dyDescent="0.25">
      <c r="C1716" s="37"/>
    </row>
    <row r="1717" spans="3:3" x14ac:dyDescent="0.25">
      <c r="C1717" s="37"/>
    </row>
    <row r="1718" spans="3:3" x14ac:dyDescent="0.25">
      <c r="C1718" s="37"/>
    </row>
    <row r="1719" spans="3:3" x14ac:dyDescent="0.25">
      <c r="C1719" s="37"/>
    </row>
    <row r="1720" spans="3:3" x14ac:dyDescent="0.25">
      <c r="C1720" s="37"/>
    </row>
    <row r="1721" spans="3:3" x14ac:dyDescent="0.25">
      <c r="C1721" s="37"/>
    </row>
    <row r="1722" spans="3:3" x14ac:dyDescent="0.25">
      <c r="C1722" s="37"/>
    </row>
    <row r="1723" spans="3:3" x14ac:dyDescent="0.25">
      <c r="C1723" s="37"/>
    </row>
    <row r="1724" spans="3:3" x14ac:dyDescent="0.25">
      <c r="C1724" s="37"/>
    </row>
    <row r="1725" spans="3:3" x14ac:dyDescent="0.25">
      <c r="C1725" s="37"/>
    </row>
    <row r="1726" spans="3:3" x14ac:dyDescent="0.25">
      <c r="C1726" s="37"/>
    </row>
    <row r="1727" spans="3:3" x14ac:dyDescent="0.25">
      <c r="C1727" s="37"/>
    </row>
    <row r="1728" spans="3:3" x14ac:dyDescent="0.25">
      <c r="C1728" s="37"/>
    </row>
    <row r="1729" spans="3:3" x14ac:dyDescent="0.25">
      <c r="C1729" s="37"/>
    </row>
    <row r="1730" spans="3:3" x14ac:dyDescent="0.25">
      <c r="C1730" s="37"/>
    </row>
    <row r="1731" spans="3:3" x14ac:dyDescent="0.25">
      <c r="C1731" s="37"/>
    </row>
    <row r="1732" spans="3:3" x14ac:dyDescent="0.25">
      <c r="C1732" s="37"/>
    </row>
    <row r="1733" spans="3:3" x14ac:dyDescent="0.25">
      <c r="C1733" s="37"/>
    </row>
    <row r="1734" spans="3:3" x14ac:dyDescent="0.25">
      <c r="C1734" s="37"/>
    </row>
    <row r="1735" spans="3:3" x14ac:dyDescent="0.25">
      <c r="C1735" s="37"/>
    </row>
    <row r="1736" spans="3:3" x14ac:dyDescent="0.25">
      <c r="C1736" s="37"/>
    </row>
    <row r="1737" spans="3:3" x14ac:dyDescent="0.25">
      <c r="C1737" s="37"/>
    </row>
    <row r="1738" spans="3:3" x14ac:dyDescent="0.25">
      <c r="C1738" s="37"/>
    </row>
    <row r="1739" spans="3:3" x14ac:dyDescent="0.25">
      <c r="C1739" s="37"/>
    </row>
    <row r="1740" spans="3:3" x14ac:dyDescent="0.25">
      <c r="C1740" s="37"/>
    </row>
    <row r="1741" spans="3:3" x14ac:dyDescent="0.25">
      <c r="C1741" s="37"/>
    </row>
    <row r="1742" spans="3:3" x14ac:dyDescent="0.25">
      <c r="C1742" s="37"/>
    </row>
    <row r="1743" spans="3:3" x14ac:dyDescent="0.25">
      <c r="C1743" s="37"/>
    </row>
    <row r="1744" spans="3:3" x14ac:dyDescent="0.25">
      <c r="C1744" s="37"/>
    </row>
    <row r="1745" spans="3:3" x14ac:dyDescent="0.25">
      <c r="C1745" s="37"/>
    </row>
    <row r="1746" spans="3:3" x14ac:dyDescent="0.25">
      <c r="C1746" s="37"/>
    </row>
    <row r="1747" spans="3:3" x14ac:dyDescent="0.25">
      <c r="C1747" s="37"/>
    </row>
    <row r="1748" spans="3:3" x14ac:dyDescent="0.25">
      <c r="C1748" s="37"/>
    </row>
    <row r="1749" spans="3:3" x14ac:dyDescent="0.25">
      <c r="C1749" s="37"/>
    </row>
    <row r="1750" spans="3:3" x14ac:dyDescent="0.25">
      <c r="C1750" s="37"/>
    </row>
    <row r="1751" spans="3:3" x14ac:dyDescent="0.25">
      <c r="C1751" s="37"/>
    </row>
    <row r="1752" spans="3:3" x14ac:dyDescent="0.25">
      <c r="C1752" s="37"/>
    </row>
    <row r="1753" spans="3:3" x14ac:dyDescent="0.25">
      <c r="C1753" s="37"/>
    </row>
    <row r="1754" spans="3:3" x14ac:dyDescent="0.25">
      <c r="C1754" s="37"/>
    </row>
    <row r="1755" spans="3:3" x14ac:dyDescent="0.25">
      <c r="C1755" s="37"/>
    </row>
    <row r="1756" spans="3:3" x14ac:dyDescent="0.25">
      <c r="C1756" s="37"/>
    </row>
    <row r="1757" spans="3:3" x14ac:dyDescent="0.25">
      <c r="C1757" s="37"/>
    </row>
    <row r="1758" spans="3:3" x14ac:dyDescent="0.25">
      <c r="C1758" s="37"/>
    </row>
    <row r="1759" spans="3:3" x14ac:dyDescent="0.25">
      <c r="C1759" s="37"/>
    </row>
    <row r="1760" spans="3:3" x14ac:dyDescent="0.25">
      <c r="C1760" s="37"/>
    </row>
    <row r="1761" spans="3:3" x14ac:dyDescent="0.25">
      <c r="C1761" s="37"/>
    </row>
    <row r="1762" spans="3:3" x14ac:dyDescent="0.25">
      <c r="C1762" s="37"/>
    </row>
    <row r="1763" spans="3:3" x14ac:dyDescent="0.25">
      <c r="C1763" s="37"/>
    </row>
    <row r="1764" spans="3:3" x14ac:dyDescent="0.25">
      <c r="C1764" s="37"/>
    </row>
    <row r="1765" spans="3:3" x14ac:dyDescent="0.25">
      <c r="C1765" s="37"/>
    </row>
    <row r="1766" spans="3:3" x14ac:dyDescent="0.25">
      <c r="C1766" s="37"/>
    </row>
    <row r="1767" spans="3:3" x14ac:dyDescent="0.25">
      <c r="C1767" s="37"/>
    </row>
    <row r="1768" spans="3:3" x14ac:dyDescent="0.25">
      <c r="C1768" s="37"/>
    </row>
    <row r="1769" spans="3:3" x14ac:dyDescent="0.25">
      <c r="C1769" s="37"/>
    </row>
    <row r="1770" spans="3:3" x14ac:dyDescent="0.25">
      <c r="C1770" s="37"/>
    </row>
    <row r="1771" spans="3:3" x14ac:dyDescent="0.25">
      <c r="C1771" s="37"/>
    </row>
    <row r="1772" spans="3:3" x14ac:dyDescent="0.25">
      <c r="C1772" s="37"/>
    </row>
    <row r="1773" spans="3:3" x14ac:dyDescent="0.25">
      <c r="C1773" s="37"/>
    </row>
    <row r="1774" spans="3:3" x14ac:dyDescent="0.25">
      <c r="C1774" s="37"/>
    </row>
    <row r="1775" spans="3:3" x14ac:dyDescent="0.25">
      <c r="C1775" s="37"/>
    </row>
    <row r="1776" spans="3:3" x14ac:dyDescent="0.25">
      <c r="C1776" s="37"/>
    </row>
    <row r="1777" spans="3:3" x14ac:dyDescent="0.25">
      <c r="C1777" s="37"/>
    </row>
    <row r="1778" spans="3:3" x14ac:dyDescent="0.25">
      <c r="C1778" s="37"/>
    </row>
    <row r="1779" spans="3:3" x14ac:dyDescent="0.25">
      <c r="C1779" s="37"/>
    </row>
    <row r="1780" spans="3:3" x14ac:dyDescent="0.25">
      <c r="C1780" s="37"/>
    </row>
    <row r="1781" spans="3:3" x14ac:dyDescent="0.25">
      <c r="C1781" s="37"/>
    </row>
    <row r="1782" spans="3:3" x14ac:dyDescent="0.25">
      <c r="C1782" s="37"/>
    </row>
    <row r="1783" spans="3:3" x14ac:dyDescent="0.25">
      <c r="C1783" s="37"/>
    </row>
    <row r="1784" spans="3:3" x14ac:dyDescent="0.25">
      <c r="C1784" s="37"/>
    </row>
    <row r="1785" spans="3:3" x14ac:dyDescent="0.25">
      <c r="C1785" s="37"/>
    </row>
    <row r="1786" spans="3:3" x14ac:dyDescent="0.25">
      <c r="C1786" s="37"/>
    </row>
    <row r="1787" spans="3:3" x14ac:dyDescent="0.25">
      <c r="C1787" s="37"/>
    </row>
    <row r="1788" spans="3:3" x14ac:dyDescent="0.25">
      <c r="C1788" s="37"/>
    </row>
    <row r="1789" spans="3:3" x14ac:dyDescent="0.25">
      <c r="C1789" s="37"/>
    </row>
    <row r="1790" spans="3:3" x14ac:dyDescent="0.25">
      <c r="C1790" s="37"/>
    </row>
    <row r="1791" spans="3:3" x14ac:dyDescent="0.25">
      <c r="C1791" s="37"/>
    </row>
    <row r="1792" spans="3:3" x14ac:dyDescent="0.25">
      <c r="C1792" s="37"/>
    </row>
    <row r="1793" spans="3:3" x14ac:dyDescent="0.25">
      <c r="C1793" s="37"/>
    </row>
    <row r="1794" spans="3:3" x14ac:dyDescent="0.25">
      <c r="C1794" s="37"/>
    </row>
    <row r="1795" spans="3:3" x14ac:dyDescent="0.25">
      <c r="C1795" s="37"/>
    </row>
    <row r="1796" spans="3:3" x14ac:dyDescent="0.25">
      <c r="C1796" s="37"/>
    </row>
    <row r="1797" spans="3:3" x14ac:dyDescent="0.25">
      <c r="C1797" s="37"/>
    </row>
    <row r="1798" spans="3:3" x14ac:dyDescent="0.25">
      <c r="C1798" s="37"/>
    </row>
    <row r="1799" spans="3:3" x14ac:dyDescent="0.25">
      <c r="C1799" s="37"/>
    </row>
    <row r="1800" spans="3:3" x14ac:dyDescent="0.25">
      <c r="C1800" s="37"/>
    </row>
    <row r="1801" spans="3:3" x14ac:dyDescent="0.25">
      <c r="C1801" s="37"/>
    </row>
    <row r="1802" spans="3:3" x14ac:dyDescent="0.25">
      <c r="C1802" s="37"/>
    </row>
    <row r="1803" spans="3:3" x14ac:dyDescent="0.25">
      <c r="C1803" s="37"/>
    </row>
    <row r="1804" spans="3:3" x14ac:dyDescent="0.25">
      <c r="C1804" s="37"/>
    </row>
    <row r="1805" spans="3:3" x14ac:dyDescent="0.25">
      <c r="C1805" s="37"/>
    </row>
    <row r="1806" spans="3:3" x14ac:dyDescent="0.25">
      <c r="C1806" s="37"/>
    </row>
    <row r="1807" spans="3:3" x14ac:dyDescent="0.25">
      <c r="C1807" s="37"/>
    </row>
    <row r="1808" spans="3:3" x14ac:dyDescent="0.25">
      <c r="C1808" s="37"/>
    </row>
    <row r="1809" spans="3:3" x14ac:dyDescent="0.25">
      <c r="C1809" s="37"/>
    </row>
    <row r="1810" spans="3:3" x14ac:dyDescent="0.25">
      <c r="C1810" s="37"/>
    </row>
    <row r="1811" spans="3:3" x14ac:dyDescent="0.25">
      <c r="C1811" s="37"/>
    </row>
    <row r="1812" spans="3:3" x14ac:dyDescent="0.25">
      <c r="C1812" s="37"/>
    </row>
    <row r="1813" spans="3:3" x14ac:dyDescent="0.25">
      <c r="C1813" s="37"/>
    </row>
    <row r="1814" spans="3:3" x14ac:dyDescent="0.25">
      <c r="C1814" s="37"/>
    </row>
    <row r="1815" spans="3:3" x14ac:dyDescent="0.25">
      <c r="C1815" s="37"/>
    </row>
    <row r="1816" spans="3:3" x14ac:dyDescent="0.25">
      <c r="C1816" s="37"/>
    </row>
    <row r="1817" spans="3:3" x14ac:dyDescent="0.25">
      <c r="C1817" s="37"/>
    </row>
    <row r="1818" spans="3:3" x14ac:dyDescent="0.25">
      <c r="C1818" s="37"/>
    </row>
    <row r="1819" spans="3:3" x14ac:dyDescent="0.25">
      <c r="C1819" s="37"/>
    </row>
    <row r="1820" spans="3:3" x14ac:dyDescent="0.25">
      <c r="C1820" s="37"/>
    </row>
    <row r="1821" spans="3:3" x14ac:dyDescent="0.25">
      <c r="C1821" s="37"/>
    </row>
    <row r="1822" spans="3:3" x14ac:dyDescent="0.25">
      <c r="C1822" s="37"/>
    </row>
    <row r="1823" spans="3:3" x14ac:dyDescent="0.25">
      <c r="C1823" s="37"/>
    </row>
    <row r="1824" spans="3:3" x14ac:dyDescent="0.25">
      <c r="C1824" s="37"/>
    </row>
    <row r="1825" spans="3:3" x14ac:dyDescent="0.25">
      <c r="C1825" s="37"/>
    </row>
    <row r="1826" spans="3:3" x14ac:dyDescent="0.25">
      <c r="C1826" s="37"/>
    </row>
    <row r="1827" spans="3:3" x14ac:dyDescent="0.25">
      <c r="C1827" s="37"/>
    </row>
    <row r="1828" spans="3:3" x14ac:dyDescent="0.25">
      <c r="C1828" s="37"/>
    </row>
    <row r="1829" spans="3:3" x14ac:dyDescent="0.25">
      <c r="C1829" s="37"/>
    </row>
    <row r="1830" spans="3:3" x14ac:dyDescent="0.25">
      <c r="C1830" s="37"/>
    </row>
    <row r="1831" spans="3:3" x14ac:dyDescent="0.25">
      <c r="C1831" s="37"/>
    </row>
    <row r="1832" spans="3:3" x14ac:dyDescent="0.25">
      <c r="C1832" s="37"/>
    </row>
    <row r="1833" spans="3:3" x14ac:dyDescent="0.25">
      <c r="C1833" s="37"/>
    </row>
    <row r="1834" spans="3:3" x14ac:dyDescent="0.25">
      <c r="C1834" s="37"/>
    </row>
    <row r="1835" spans="3:3" x14ac:dyDescent="0.25">
      <c r="C1835" s="37"/>
    </row>
    <row r="1836" spans="3:3" x14ac:dyDescent="0.25">
      <c r="C1836" s="37"/>
    </row>
    <row r="1837" spans="3:3" x14ac:dyDescent="0.25">
      <c r="C1837" s="37"/>
    </row>
    <row r="1838" spans="3:3" x14ac:dyDescent="0.25">
      <c r="C1838" s="37"/>
    </row>
    <row r="1839" spans="3:3" x14ac:dyDescent="0.25">
      <c r="C1839" s="37"/>
    </row>
    <row r="1840" spans="3:3" x14ac:dyDescent="0.25">
      <c r="C1840" s="37"/>
    </row>
    <row r="1841" spans="3:3" x14ac:dyDescent="0.25">
      <c r="C1841" s="37"/>
    </row>
    <row r="1842" spans="3:3" x14ac:dyDescent="0.25">
      <c r="C1842" s="37"/>
    </row>
    <row r="1843" spans="3:3" x14ac:dyDescent="0.25">
      <c r="C1843" s="37"/>
    </row>
    <row r="1844" spans="3:3" x14ac:dyDescent="0.25">
      <c r="C1844" s="37"/>
    </row>
    <row r="1845" spans="3:3" x14ac:dyDescent="0.25">
      <c r="C1845" s="37"/>
    </row>
    <row r="1846" spans="3:3" x14ac:dyDescent="0.25">
      <c r="C1846" s="37"/>
    </row>
    <row r="1847" spans="3:3" x14ac:dyDescent="0.25">
      <c r="C1847" s="37"/>
    </row>
    <row r="1848" spans="3:3" x14ac:dyDescent="0.25">
      <c r="C1848" s="37"/>
    </row>
    <row r="1849" spans="3:3" x14ac:dyDescent="0.25">
      <c r="C1849" s="37"/>
    </row>
    <row r="1850" spans="3:3" x14ac:dyDescent="0.25">
      <c r="C1850" s="37"/>
    </row>
    <row r="1851" spans="3:3" x14ac:dyDescent="0.25">
      <c r="C1851" s="37"/>
    </row>
    <row r="1852" spans="3:3" x14ac:dyDescent="0.25">
      <c r="C1852" s="37"/>
    </row>
    <row r="1853" spans="3:3" x14ac:dyDescent="0.25">
      <c r="C1853" s="37"/>
    </row>
    <row r="1854" spans="3:3" x14ac:dyDescent="0.25">
      <c r="C1854" s="37"/>
    </row>
    <row r="1855" spans="3:3" x14ac:dyDescent="0.25">
      <c r="C1855" s="37"/>
    </row>
    <row r="1856" spans="3:3" x14ac:dyDescent="0.25">
      <c r="C1856" s="37"/>
    </row>
    <row r="1857" spans="3:3" x14ac:dyDescent="0.25">
      <c r="C1857" s="37"/>
    </row>
    <row r="1858" spans="3:3" x14ac:dyDescent="0.25">
      <c r="C1858" s="37"/>
    </row>
    <row r="1859" spans="3:3" x14ac:dyDescent="0.25">
      <c r="C1859" s="37"/>
    </row>
    <row r="1860" spans="3:3" x14ac:dyDescent="0.25">
      <c r="C1860" s="37"/>
    </row>
    <row r="1861" spans="3:3" x14ac:dyDescent="0.25">
      <c r="C1861" s="37"/>
    </row>
    <row r="1862" spans="3:3" x14ac:dyDescent="0.25">
      <c r="C1862" s="37"/>
    </row>
    <row r="1863" spans="3:3" x14ac:dyDescent="0.25">
      <c r="C1863" s="37"/>
    </row>
    <row r="1864" spans="3:3" x14ac:dyDescent="0.25">
      <c r="C1864" s="37"/>
    </row>
    <row r="1865" spans="3:3" x14ac:dyDescent="0.25">
      <c r="C1865" s="37"/>
    </row>
    <row r="1866" spans="3:3" x14ac:dyDescent="0.25">
      <c r="C1866" s="37"/>
    </row>
    <row r="1867" spans="3:3" x14ac:dyDescent="0.25">
      <c r="C1867" s="37"/>
    </row>
    <row r="1868" spans="3:3" x14ac:dyDescent="0.25">
      <c r="C1868" s="37"/>
    </row>
    <row r="1869" spans="3:3" x14ac:dyDescent="0.25">
      <c r="C1869" s="37"/>
    </row>
    <row r="1870" spans="3:3" x14ac:dyDescent="0.25">
      <c r="C1870" s="37"/>
    </row>
    <row r="1871" spans="3:3" x14ac:dyDescent="0.25">
      <c r="C1871" s="37"/>
    </row>
    <row r="1872" spans="3:3" x14ac:dyDescent="0.25">
      <c r="C1872" s="37"/>
    </row>
    <row r="1873" spans="3:3" x14ac:dyDescent="0.25">
      <c r="C1873" s="37"/>
    </row>
    <row r="1874" spans="3:3" x14ac:dyDescent="0.25">
      <c r="C1874" s="37"/>
    </row>
    <row r="1875" spans="3:3" x14ac:dyDescent="0.25">
      <c r="C1875" s="37"/>
    </row>
    <row r="1876" spans="3:3" x14ac:dyDescent="0.25">
      <c r="C1876" s="37"/>
    </row>
    <row r="1877" spans="3:3" x14ac:dyDescent="0.25">
      <c r="C1877" s="37"/>
    </row>
    <row r="1878" spans="3:3" x14ac:dyDescent="0.25">
      <c r="C1878" s="37"/>
    </row>
    <row r="1879" spans="3:3" x14ac:dyDescent="0.25">
      <c r="C1879" s="37"/>
    </row>
    <row r="1880" spans="3:3" x14ac:dyDescent="0.25">
      <c r="C1880" s="37"/>
    </row>
    <row r="1881" spans="3:3" x14ac:dyDescent="0.25">
      <c r="C1881" s="37"/>
    </row>
    <row r="1882" spans="3:3" x14ac:dyDescent="0.25">
      <c r="C1882" s="37"/>
    </row>
    <row r="1883" spans="3:3" x14ac:dyDescent="0.25">
      <c r="C1883" s="37"/>
    </row>
    <row r="1884" spans="3:3" x14ac:dyDescent="0.25">
      <c r="C1884" s="37"/>
    </row>
    <row r="1885" spans="3:3" x14ac:dyDescent="0.25">
      <c r="C1885" s="37"/>
    </row>
    <row r="1886" spans="3:3" x14ac:dyDescent="0.25">
      <c r="C1886" s="37"/>
    </row>
    <row r="1887" spans="3:3" x14ac:dyDescent="0.25">
      <c r="C1887" s="37"/>
    </row>
    <row r="1888" spans="3:3" x14ac:dyDescent="0.25">
      <c r="C1888" s="37"/>
    </row>
    <row r="1889" spans="3:3" x14ac:dyDescent="0.25">
      <c r="C1889" s="37"/>
    </row>
    <row r="1890" spans="3:3" x14ac:dyDescent="0.25">
      <c r="C1890" s="37"/>
    </row>
    <row r="1891" spans="3:3" x14ac:dyDescent="0.25">
      <c r="C1891" s="37"/>
    </row>
    <row r="1892" spans="3:3" x14ac:dyDescent="0.25">
      <c r="C1892" s="37"/>
    </row>
    <row r="1893" spans="3:3" x14ac:dyDescent="0.25">
      <c r="C1893" s="37"/>
    </row>
    <row r="1894" spans="3:3" x14ac:dyDescent="0.25">
      <c r="C1894" s="37"/>
    </row>
    <row r="1895" spans="3:3" x14ac:dyDescent="0.25">
      <c r="C1895" s="37"/>
    </row>
    <row r="1896" spans="3:3" x14ac:dyDescent="0.25">
      <c r="C1896" s="37"/>
    </row>
    <row r="1897" spans="3:3" x14ac:dyDescent="0.25">
      <c r="C1897" s="37"/>
    </row>
    <row r="1898" spans="3:3" x14ac:dyDescent="0.25">
      <c r="C1898" s="37"/>
    </row>
    <row r="1899" spans="3:3" x14ac:dyDescent="0.25">
      <c r="C1899" s="37"/>
    </row>
    <row r="1900" spans="3:3" x14ac:dyDescent="0.25">
      <c r="C1900" s="37"/>
    </row>
    <row r="1901" spans="3:3" x14ac:dyDescent="0.25">
      <c r="C1901" s="37"/>
    </row>
    <row r="1902" spans="3:3" x14ac:dyDescent="0.25">
      <c r="C1902" s="37"/>
    </row>
    <row r="1903" spans="3:3" x14ac:dyDescent="0.25">
      <c r="C1903" s="37"/>
    </row>
    <row r="1904" spans="3:3" x14ac:dyDescent="0.25">
      <c r="C1904" s="37"/>
    </row>
    <row r="1905" spans="3:3" x14ac:dyDescent="0.25">
      <c r="C1905" s="37"/>
    </row>
    <row r="1906" spans="3:3" x14ac:dyDescent="0.25">
      <c r="C1906" s="37"/>
    </row>
    <row r="1907" spans="3:3" x14ac:dyDescent="0.25">
      <c r="C1907" s="37"/>
    </row>
    <row r="1908" spans="3:3" x14ac:dyDescent="0.25">
      <c r="C1908" s="37"/>
    </row>
    <row r="1909" spans="3:3" x14ac:dyDescent="0.25">
      <c r="C1909" s="37"/>
    </row>
    <row r="1910" spans="3:3" x14ac:dyDescent="0.25">
      <c r="C1910" s="37"/>
    </row>
    <row r="1911" spans="3:3" x14ac:dyDescent="0.25">
      <c r="C1911" s="37"/>
    </row>
    <row r="1912" spans="3:3" x14ac:dyDescent="0.25">
      <c r="C1912" s="37"/>
    </row>
    <row r="1913" spans="3:3" x14ac:dyDescent="0.25">
      <c r="C1913" s="37"/>
    </row>
    <row r="1914" spans="3:3" x14ac:dyDescent="0.25">
      <c r="C1914" s="37"/>
    </row>
    <row r="1915" spans="3:3" x14ac:dyDescent="0.25">
      <c r="C1915" s="37"/>
    </row>
    <row r="1916" spans="3:3" x14ac:dyDescent="0.25">
      <c r="C1916" s="37"/>
    </row>
    <row r="1917" spans="3:3" x14ac:dyDescent="0.25">
      <c r="C1917" s="37"/>
    </row>
    <row r="1918" spans="3:3" x14ac:dyDescent="0.25">
      <c r="C1918" s="37"/>
    </row>
    <row r="1919" spans="3:3" x14ac:dyDescent="0.25">
      <c r="C1919" s="37"/>
    </row>
    <row r="1920" spans="3:3" x14ac:dyDescent="0.25">
      <c r="C1920" s="37"/>
    </row>
    <row r="1921" spans="3:3" x14ac:dyDescent="0.25">
      <c r="C1921" s="37"/>
    </row>
    <row r="1922" spans="3:3" x14ac:dyDescent="0.25">
      <c r="C1922" s="37"/>
    </row>
    <row r="1923" spans="3:3" x14ac:dyDescent="0.25">
      <c r="C1923" s="37"/>
    </row>
    <row r="1924" spans="3:3" x14ac:dyDescent="0.25">
      <c r="C1924" s="37"/>
    </row>
    <row r="1925" spans="3:3" x14ac:dyDescent="0.25">
      <c r="C1925" s="37"/>
    </row>
    <row r="1926" spans="3:3" x14ac:dyDescent="0.25">
      <c r="C1926" s="37"/>
    </row>
    <row r="1927" spans="3:3" x14ac:dyDescent="0.25">
      <c r="C1927" s="37"/>
    </row>
    <row r="1928" spans="3:3" x14ac:dyDescent="0.25">
      <c r="C1928" s="37"/>
    </row>
    <row r="1929" spans="3:3" x14ac:dyDescent="0.25">
      <c r="C1929" s="37"/>
    </row>
    <row r="1930" spans="3:3" x14ac:dyDescent="0.25">
      <c r="C1930" s="37"/>
    </row>
    <row r="1931" spans="3:3" x14ac:dyDescent="0.25">
      <c r="C1931" s="37"/>
    </row>
    <row r="1932" spans="3:3" x14ac:dyDescent="0.25">
      <c r="C1932" s="37"/>
    </row>
    <row r="1933" spans="3:3" x14ac:dyDescent="0.25">
      <c r="C1933" s="37"/>
    </row>
    <row r="1934" spans="3:3" x14ac:dyDescent="0.25">
      <c r="C1934" s="37"/>
    </row>
    <row r="1935" spans="3:3" x14ac:dyDescent="0.25">
      <c r="C1935" s="37"/>
    </row>
    <row r="1936" spans="3:3" x14ac:dyDescent="0.25">
      <c r="C1936" s="37"/>
    </row>
    <row r="1937" spans="3:3" x14ac:dyDescent="0.25">
      <c r="C1937" s="37"/>
    </row>
    <row r="1938" spans="3:3" x14ac:dyDescent="0.25">
      <c r="C1938" s="37"/>
    </row>
    <row r="1939" spans="3:3" x14ac:dyDescent="0.25">
      <c r="C1939" s="37"/>
    </row>
    <row r="1940" spans="3:3" x14ac:dyDescent="0.25">
      <c r="C1940" s="37"/>
    </row>
    <row r="1941" spans="3:3" x14ac:dyDescent="0.25">
      <c r="C1941" s="37"/>
    </row>
    <row r="1942" spans="3:3" x14ac:dyDescent="0.25">
      <c r="C1942" s="37"/>
    </row>
    <row r="1943" spans="3:3" x14ac:dyDescent="0.25">
      <c r="C1943" s="37"/>
    </row>
    <row r="1944" spans="3:3" x14ac:dyDescent="0.25">
      <c r="C1944" s="37"/>
    </row>
    <row r="1945" spans="3:3" x14ac:dyDescent="0.25">
      <c r="C1945" s="37"/>
    </row>
    <row r="1946" spans="3:3" x14ac:dyDescent="0.25">
      <c r="C1946" s="37"/>
    </row>
    <row r="1947" spans="3:3" x14ac:dyDescent="0.25">
      <c r="C1947" s="37"/>
    </row>
    <row r="1948" spans="3:3" x14ac:dyDescent="0.25">
      <c r="C1948" s="37"/>
    </row>
    <row r="1949" spans="3:3" x14ac:dyDescent="0.25">
      <c r="C1949" s="37"/>
    </row>
    <row r="1950" spans="3:3" x14ac:dyDescent="0.25">
      <c r="C1950" s="37"/>
    </row>
    <row r="1951" spans="3:3" x14ac:dyDescent="0.25">
      <c r="C1951" s="37"/>
    </row>
    <row r="1952" spans="3:3" x14ac:dyDescent="0.25">
      <c r="C1952" s="37"/>
    </row>
    <row r="1953" spans="3:3" x14ac:dyDescent="0.25">
      <c r="C1953" s="37"/>
    </row>
    <row r="1954" spans="3:3" x14ac:dyDescent="0.25">
      <c r="C1954" s="37"/>
    </row>
    <row r="1955" spans="3:3" x14ac:dyDescent="0.25">
      <c r="C1955" s="37"/>
    </row>
    <row r="1956" spans="3:3" x14ac:dyDescent="0.25">
      <c r="C1956" s="37"/>
    </row>
    <row r="1957" spans="3:3" x14ac:dyDescent="0.25">
      <c r="C1957" s="37"/>
    </row>
    <row r="1958" spans="3:3" x14ac:dyDescent="0.25">
      <c r="C1958" s="37"/>
    </row>
    <row r="1959" spans="3:3" x14ac:dyDescent="0.25">
      <c r="C1959" s="37"/>
    </row>
    <row r="1960" spans="3:3" x14ac:dyDescent="0.25">
      <c r="C1960" s="37"/>
    </row>
    <row r="1961" spans="3:3" x14ac:dyDescent="0.25">
      <c r="C1961" s="37"/>
    </row>
    <row r="1962" spans="3:3" x14ac:dyDescent="0.25">
      <c r="C1962" s="37"/>
    </row>
    <row r="1963" spans="3:3" x14ac:dyDescent="0.25">
      <c r="C1963" s="37"/>
    </row>
    <row r="1964" spans="3:3" x14ac:dyDescent="0.25">
      <c r="C1964" s="37"/>
    </row>
    <row r="1965" spans="3:3" x14ac:dyDescent="0.25">
      <c r="C1965" s="37"/>
    </row>
    <row r="1966" spans="3:3" x14ac:dyDescent="0.25">
      <c r="C1966" s="37"/>
    </row>
    <row r="1967" spans="3:3" x14ac:dyDescent="0.25">
      <c r="C1967" s="37"/>
    </row>
    <row r="1968" spans="3:3" x14ac:dyDescent="0.25">
      <c r="C1968" s="37"/>
    </row>
    <row r="1969" spans="3:3" x14ac:dyDescent="0.25">
      <c r="C1969" s="37"/>
    </row>
    <row r="1970" spans="3:3" x14ac:dyDescent="0.25">
      <c r="C1970" s="37"/>
    </row>
    <row r="1971" spans="3:3" x14ac:dyDescent="0.25">
      <c r="C1971" s="37"/>
    </row>
    <row r="1972" spans="3:3" x14ac:dyDescent="0.25">
      <c r="C1972" s="37"/>
    </row>
    <row r="1973" spans="3:3" x14ac:dyDescent="0.25">
      <c r="C1973" s="37"/>
    </row>
    <row r="1974" spans="3:3" x14ac:dyDescent="0.25">
      <c r="C1974" s="37"/>
    </row>
    <row r="1975" spans="3:3" x14ac:dyDescent="0.25">
      <c r="C1975" s="37"/>
    </row>
    <row r="1976" spans="3:3" x14ac:dyDescent="0.25">
      <c r="C1976" s="37"/>
    </row>
    <row r="1977" spans="3:3" x14ac:dyDescent="0.25">
      <c r="C1977" s="37"/>
    </row>
    <row r="1978" spans="3:3" x14ac:dyDescent="0.25">
      <c r="C1978" s="37"/>
    </row>
    <row r="1979" spans="3:3" x14ac:dyDescent="0.25">
      <c r="C1979" s="37"/>
    </row>
    <row r="1980" spans="3:3" x14ac:dyDescent="0.25">
      <c r="C1980" s="37"/>
    </row>
    <row r="1981" spans="3:3" x14ac:dyDescent="0.25">
      <c r="C1981" s="37"/>
    </row>
    <row r="1982" spans="3:3" x14ac:dyDescent="0.25">
      <c r="C1982" s="37"/>
    </row>
    <row r="1983" spans="3:3" x14ac:dyDescent="0.25">
      <c r="C1983" s="37"/>
    </row>
    <row r="1984" spans="3:3" x14ac:dyDescent="0.25">
      <c r="C1984" s="37"/>
    </row>
    <row r="1985" spans="3:3" x14ac:dyDescent="0.25">
      <c r="C1985" s="37"/>
    </row>
    <row r="1986" spans="3:3" x14ac:dyDescent="0.25">
      <c r="C1986" s="37"/>
    </row>
    <row r="1987" spans="3:3" x14ac:dyDescent="0.25">
      <c r="C1987" s="37"/>
    </row>
    <row r="1988" spans="3:3" x14ac:dyDescent="0.25">
      <c r="C1988" s="37"/>
    </row>
    <row r="1989" spans="3:3" x14ac:dyDescent="0.25">
      <c r="C1989" s="37"/>
    </row>
    <row r="1990" spans="3:3" x14ac:dyDescent="0.25">
      <c r="C1990" s="37"/>
    </row>
    <row r="1991" spans="3:3" x14ac:dyDescent="0.25">
      <c r="C1991" s="37"/>
    </row>
    <row r="1992" spans="3:3" x14ac:dyDescent="0.25">
      <c r="C1992" s="37"/>
    </row>
    <row r="1993" spans="3:3" x14ac:dyDescent="0.25">
      <c r="C1993" s="37"/>
    </row>
    <row r="1994" spans="3:3" x14ac:dyDescent="0.25">
      <c r="C1994" s="37"/>
    </row>
    <row r="1995" spans="3:3" x14ac:dyDescent="0.25">
      <c r="C1995" s="37"/>
    </row>
    <row r="1996" spans="3:3" x14ac:dyDescent="0.25">
      <c r="C1996" s="37"/>
    </row>
    <row r="1997" spans="3:3" x14ac:dyDescent="0.25">
      <c r="C1997" s="37"/>
    </row>
    <row r="1998" spans="3:3" x14ac:dyDescent="0.25">
      <c r="C1998" s="37"/>
    </row>
    <row r="1999" spans="3:3" x14ac:dyDescent="0.25">
      <c r="C1999" s="37"/>
    </row>
    <row r="2000" spans="3:3" x14ac:dyDescent="0.25">
      <c r="C2000" s="37"/>
    </row>
    <row r="2001" spans="3:3" x14ac:dyDescent="0.25">
      <c r="C2001" s="37"/>
    </row>
    <row r="2002" spans="3:3" x14ac:dyDescent="0.25">
      <c r="C2002" s="37"/>
    </row>
    <row r="2003" spans="3:3" x14ac:dyDescent="0.25">
      <c r="C2003" s="37"/>
    </row>
    <row r="2004" spans="3:3" x14ac:dyDescent="0.25">
      <c r="C2004" s="37"/>
    </row>
    <row r="2005" spans="3:3" x14ac:dyDescent="0.25">
      <c r="C2005" s="37"/>
    </row>
    <row r="2006" spans="3:3" x14ac:dyDescent="0.25">
      <c r="C2006" s="37"/>
    </row>
    <row r="2007" spans="3:3" x14ac:dyDescent="0.25">
      <c r="C2007" s="37"/>
    </row>
    <row r="2008" spans="3:3" x14ac:dyDescent="0.25">
      <c r="C2008" s="37"/>
    </row>
    <row r="2009" spans="3:3" x14ac:dyDescent="0.25">
      <c r="C2009" s="37"/>
    </row>
    <row r="2010" spans="3:3" x14ac:dyDescent="0.25">
      <c r="C2010" s="37"/>
    </row>
    <row r="2011" spans="3:3" x14ac:dyDescent="0.25">
      <c r="C2011" s="37"/>
    </row>
    <row r="2012" spans="3:3" x14ac:dyDescent="0.25">
      <c r="C2012" s="37"/>
    </row>
    <row r="2013" spans="3:3" x14ac:dyDescent="0.25">
      <c r="C2013" s="37"/>
    </row>
    <row r="2014" spans="3:3" x14ac:dyDescent="0.25">
      <c r="C2014" s="37"/>
    </row>
    <row r="2015" spans="3:3" x14ac:dyDescent="0.25">
      <c r="C2015" s="37"/>
    </row>
    <row r="2016" spans="3:3" x14ac:dyDescent="0.25">
      <c r="C2016" s="37"/>
    </row>
    <row r="2017" spans="3:3" x14ac:dyDescent="0.25">
      <c r="C2017" s="37"/>
    </row>
    <row r="2018" spans="3:3" x14ac:dyDescent="0.25">
      <c r="C2018" s="37"/>
    </row>
    <row r="2019" spans="3:3" x14ac:dyDescent="0.25">
      <c r="C2019" s="37"/>
    </row>
    <row r="2020" spans="3:3" x14ac:dyDescent="0.25">
      <c r="C2020" s="37"/>
    </row>
    <row r="2021" spans="3:3" x14ac:dyDescent="0.25">
      <c r="C2021" s="37"/>
    </row>
    <row r="2022" spans="3:3" x14ac:dyDescent="0.25">
      <c r="C2022" s="37"/>
    </row>
    <row r="2023" spans="3:3" x14ac:dyDescent="0.25">
      <c r="C2023" s="37"/>
    </row>
    <row r="2024" spans="3:3" x14ac:dyDescent="0.25">
      <c r="C2024" s="37"/>
    </row>
    <row r="2025" spans="3:3" x14ac:dyDescent="0.25">
      <c r="C2025" s="37"/>
    </row>
    <row r="2026" spans="3:3" x14ac:dyDescent="0.25">
      <c r="C2026" s="37"/>
    </row>
    <row r="2027" spans="3:3" x14ac:dyDescent="0.25">
      <c r="C2027" s="37"/>
    </row>
    <row r="2028" spans="3:3" x14ac:dyDescent="0.25">
      <c r="C2028" s="37"/>
    </row>
    <row r="2029" spans="3:3" x14ac:dyDescent="0.25">
      <c r="C2029" s="37"/>
    </row>
    <row r="2030" spans="3:3" x14ac:dyDescent="0.25">
      <c r="C2030" s="37"/>
    </row>
    <row r="2031" spans="3:3" x14ac:dyDescent="0.25">
      <c r="C2031" s="37"/>
    </row>
    <row r="2032" spans="3:3" x14ac:dyDescent="0.25">
      <c r="C2032" s="37"/>
    </row>
    <row r="2033" spans="3:3" x14ac:dyDescent="0.25">
      <c r="C2033" s="37"/>
    </row>
    <row r="2034" spans="3:3" x14ac:dyDescent="0.25">
      <c r="C2034" s="37"/>
    </row>
    <row r="2035" spans="3:3" x14ac:dyDescent="0.25">
      <c r="C2035" s="37"/>
    </row>
    <row r="2036" spans="3:3" x14ac:dyDescent="0.25">
      <c r="C2036" s="37"/>
    </row>
    <row r="2037" spans="3:3" x14ac:dyDescent="0.25">
      <c r="C2037" s="37"/>
    </row>
    <row r="2038" spans="3:3" x14ac:dyDescent="0.25">
      <c r="C2038" s="37"/>
    </row>
    <row r="2039" spans="3:3" x14ac:dyDescent="0.25">
      <c r="C2039" s="37"/>
    </row>
    <row r="2040" spans="3:3" x14ac:dyDescent="0.25">
      <c r="C2040" s="37"/>
    </row>
    <row r="2041" spans="3:3" x14ac:dyDescent="0.25">
      <c r="C2041" s="37"/>
    </row>
    <row r="2042" spans="3:3" x14ac:dyDescent="0.25">
      <c r="C2042" s="37"/>
    </row>
    <row r="2043" spans="3:3" x14ac:dyDescent="0.25">
      <c r="C2043" s="37"/>
    </row>
    <row r="2044" spans="3:3" x14ac:dyDescent="0.25">
      <c r="C2044" s="37"/>
    </row>
    <row r="2045" spans="3:3" x14ac:dyDescent="0.25">
      <c r="C2045" s="37"/>
    </row>
    <row r="2046" spans="3:3" x14ac:dyDescent="0.25">
      <c r="C2046" s="37"/>
    </row>
    <row r="2047" spans="3:3" x14ac:dyDescent="0.25">
      <c r="C2047" s="37"/>
    </row>
    <row r="2048" spans="3:3" x14ac:dyDescent="0.25">
      <c r="C2048" s="37"/>
    </row>
    <row r="2049" spans="3:3" x14ac:dyDescent="0.25">
      <c r="C2049" s="37"/>
    </row>
    <row r="2050" spans="3:3" x14ac:dyDescent="0.25">
      <c r="C2050" s="37"/>
    </row>
    <row r="2051" spans="3:3" x14ac:dyDescent="0.25">
      <c r="C2051" s="37"/>
    </row>
    <row r="2052" spans="3:3" x14ac:dyDescent="0.25">
      <c r="C2052" s="37"/>
    </row>
    <row r="2053" spans="3:3" x14ac:dyDescent="0.25">
      <c r="C2053" s="37"/>
    </row>
    <row r="2054" spans="3:3" x14ac:dyDescent="0.25">
      <c r="C2054" s="37"/>
    </row>
    <row r="2055" spans="3:3" x14ac:dyDescent="0.25">
      <c r="C2055" s="37"/>
    </row>
    <row r="2056" spans="3:3" x14ac:dyDescent="0.25">
      <c r="C2056" s="37"/>
    </row>
    <row r="2057" spans="3:3" x14ac:dyDescent="0.25">
      <c r="C2057" s="37"/>
    </row>
    <row r="2058" spans="3:3" x14ac:dyDescent="0.25">
      <c r="C2058" s="37"/>
    </row>
    <row r="2059" spans="3:3" x14ac:dyDescent="0.25">
      <c r="C2059" s="37"/>
    </row>
    <row r="2060" spans="3:3" x14ac:dyDescent="0.25">
      <c r="C2060" s="37"/>
    </row>
    <row r="2061" spans="3:3" x14ac:dyDescent="0.25">
      <c r="C2061" s="37"/>
    </row>
    <row r="2062" spans="3:3" x14ac:dyDescent="0.25">
      <c r="C2062" s="37"/>
    </row>
    <row r="2063" spans="3:3" x14ac:dyDescent="0.25">
      <c r="C2063" s="37"/>
    </row>
    <row r="2064" spans="3:3" x14ac:dyDescent="0.25">
      <c r="C2064" s="37"/>
    </row>
    <row r="2065" spans="3:3" x14ac:dyDescent="0.25">
      <c r="C2065" s="37"/>
    </row>
    <row r="2066" spans="3:3" x14ac:dyDescent="0.25">
      <c r="C2066" s="37"/>
    </row>
    <row r="2067" spans="3:3" x14ac:dyDescent="0.25">
      <c r="C2067" s="37"/>
    </row>
    <row r="2068" spans="3:3" x14ac:dyDescent="0.25">
      <c r="C2068" s="37"/>
    </row>
    <row r="2069" spans="3:3" x14ac:dyDescent="0.25">
      <c r="C2069" s="37"/>
    </row>
    <row r="2070" spans="3:3" x14ac:dyDescent="0.25">
      <c r="C2070" s="37"/>
    </row>
    <row r="2071" spans="3:3" x14ac:dyDescent="0.25">
      <c r="C2071" s="37"/>
    </row>
    <row r="2072" spans="3:3" x14ac:dyDescent="0.25">
      <c r="C2072" s="37"/>
    </row>
    <row r="2073" spans="3:3" x14ac:dyDescent="0.25">
      <c r="C2073" s="37"/>
    </row>
    <row r="2074" spans="3:3" x14ac:dyDescent="0.25">
      <c r="C2074" s="37"/>
    </row>
    <row r="2075" spans="3:3" x14ac:dyDescent="0.25">
      <c r="C2075" s="37"/>
    </row>
    <row r="2076" spans="3:3" x14ac:dyDescent="0.25">
      <c r="C2076" s="37"/>
    </row>
    <row r="2077" spans="3:3" x14ac:dyDescent="0.25">
      <c r="C2077" s="37"/>
    </row>
    <row r="2078" spans="3:3" x14ac:dyDescent="0.25">
      <c r="C2078" s="37"/>
    </row>
    <row r="2079" spans="3:3" x14ac:dyDescent="0.25">
      <c r="C2079" s="37"/>
    </row>
    <row r="2080" spans="3:3" x14ac:dyDescent="0.25">
      <c r="C2080" s="37"/>
    </row>
    <row r="2081" spans="3:3" x14ac:dyDescent="0.25">
      <c r="C2081" s="37"/>
    </row>
    <row r="2082" spans="3:3" x14ac:dyDescent="0.25">
      <c r="C2082" s="37"/>
    </row>
    <row r="2083" spans="3:3" x14ac:dyDescent="0.25">
      <c r="C2083" s="37"/>
    </row>
    <row r="2084" spans="3:3" x14ac:dyDescent="0.25">
      <c r="C2084" s="37"/>
    </row>
    <row r="2085" spans="3:3" x14ac:dyDescent="0.25">
      <c r="C2085" s="37"/>
    </row>
    <row r="2086" spans="3:3" x14ac:dyDescent="0.25">
      <c r="C2086" s="37"/>
    </row>
    <row r="2087" spans="3:3" x14ac:dyDescent="0.25">
      <c r="C2087" s="37"/>
    </row>
    <row r="2088" spans="3:3" x14ac:dyDescent="0.25">
      <c r="C2088" s="37"/>
    </row>
    <row r="2089" spans="3:3" x14ac:dyDescent="0.25">
      <c r="C2089" s="37"/>
    </row>
    <row r="2090" spans="3:3" x14ac:dyDescent="0.25">
      <c r="C2090" s="37"/>
    </row>
    <row r="2091" spans="3:3" x14ac:dyDescent="0.25">
      <c r="C2091" s="37"/>
    </row>
    <row r="2092" spans="3:3" x14ac:dyDescent="0.25">
      <c r="C2092" s="37"/>
    </row>
    <row r="2093" spans="3:3" x14ac:dyDescent="0.25">
      <c r="C2093" s="37"/>
    </row>
    <row r="2094" spans="3:3" x14ac:dyDescent="0.25">
      <c r="C2094" s="37"/>
    </row>
    <row r="2095" spans="3:3" x14ac:dyDescent="0.25">
      <c r="C2095" s="37"/>
    </row>
    <row r="2096" spans="3:3" x14ac:dyDescent="0.25">
      <c r="C2096" s="37"/>
    </row>
    <row r="2097" spans="3:3" x14ac:dyDescent="0.25">
      <c r="C2097" s="37"/>
    </row>
    <row r="2098" spans="3:3" x14ac:dyDescent="0.25">
      <c r="C2098" s="37"/>
    </row>
    <row r="2099" spans="3:3" x14ac:dyDescent="0.25">
      <c r="C2099" s="37"/>
    </row>
    <row r="2100" spans="3:3" x14ac:dyDescent="0.25">
      <c r="C2100" s="37"/>
    </row>
    <row r="2101" spans="3:3" x14ac:dyDescent="0.25">
      <c r="C2101" s="37"/>
    </row>
    <row r="2102" spans="3:3" x14ac:dyDescent="0.25">
      <c r="C2102" s="37"/>
    </row>
    <row r="2103" spans="3:3" x14ac:dyDescent="0.25">
      <c r="C2103" s="37"/>
    </row>
    <row r="2104" spans="3:3" x14ac:dyDescent="0.25">
      <c r="C2104" s="37"/>
    </row>
    <row r="2105" spans="3:3" x14ac:dyDescent="0.25">
      <c r="C2105" s="37"/>
    </row>
    <row r="2106" spans="3:3" x14ac:dyDescent="0.25">
      <c r="C2106" s="37"/>
    </row>
    <row r="2107" spans="3:3" x14ac:dyDescent="0.25">
      <c r="C2107" s="37"/>
    </row>
    <row r="2108" spans="3:3" x14ac:dyDescent="0.25">
      <c r="C2108" s="37"/>
    </row>
    <row r="2109" spans="3:3" x14ac:dyDescent="0.25">
      <c r="C2109" s="37"/>
    </row>
    <row r="2110" spans="3:3" x14ac:dyDescent="0.25">
      <c r="C2110" s="37"/>
    </row>
    <row r="2111" spans="3:3" x14ac:dyDescent="0.25">
      <c r="C2111" s="37"/>
    </row>
    <row r="2112" spans="3:3" x14ac:dyDescent="0.25">
      <c r="C2112" s="37"/>
    </row>
    <row r="2113" spans="3:3" x14ac:dyDescent="0.25">
      <c r="C2113" s="37"/>
    </row>
    <row r="2114" spans="3:3" x14ac:dyDescent="0.25">
      <c r="C2114" s="37"/>
    </row>
    <row r="2115" spans="3:3" x14ac:dyDescent="0.25">
      <c r="C2115" s="37"/>
    </row>
    <row r="2116" spans="3:3" x14ac:dyDescent="0.25">
      <c r="C2116" s="37"/>
    </row>
    <row r="2117" spans="3:3" x14ac:dyDescent="0.25">
      <c r="C2117" s="37"/>
    </row>
    <row r="2118" spans="3:3" x14ac:dyDescent="0.25">
      <c r="C2118" s="37"/>
    </row>
    <row r="2119" spans="3:3" x14ac:dyDescent="0.25">
      <c r="C2119" s="37"/>
    </row>
    <row r="2120" spans="3:3" x14ac:dyDescent="0.25">
      <c r="C2120" s="37"/>
    </row>
    <row r="2121" spans="3:3" x14ac:dyDescent="0.25">
      <c r="C2121" s="37"/>
    </row>
    <row r="2122" spans="3:3" x14ac:dyDescent="0.25">
      <c r="C2122" s="37"/>
    </row>
    <row r="2123" spans="3:3" x14ac:dyDescent="0.25">
      <c r="C2123" s="37"/>
    </row>
    <row r="2124" spans="3:3" x14ac:dyDescent="0.25">
      <c r="C2124" s="37"/>
    </row>
    <row r="2125" spans="3:3" x14ac:dyDescent="0.25">
      <c r="C2125" s="37"/>
    </row>
    <row r="2126" spans="3:3" x14ac:dyDescent="0.25">
      <c r="C2126" s="37"/>
    </row>
    <row r="2127" spans="3:3" x14ac:dyDescent="0.25">
      <c r="C2127" s="37"/>
    </row>
    <row r="2128" spans="3:3" x14ac:dyDescent="0.25">
      <c r="C2128" s="37"/>
    </row>
    <row r="2129" spans="3:3" x14ac:dyDescent="0.25">
      <c r="C2129" s="37"/>
    </row>
    <row r="2130" spans="3:3" x14ac:dyDescent="0.25">
      <c r="C2130" s="37"/>
    </row>
    <row r="2131" spans="3:3" x14ac:dyDescent="0.25">
      <c r="C2131" s="37"/>
    </row>
    <row r="2132" spans="3:3" x14ac:dyDescent="0.25">
      <c r="C2132" s="37"/>
    </row>
    <row r="2133" spans="3:3" x14ac:dyDescent="0.25">
      <c r="C2133" s="37"/>
    </row>
    <row r="2134" spans="3:3" x14ac:dyDescent="0.25">
      <c r="C2134" s="37"/>
    </row>
    <row r="2135" spans="3:3" x14ac:dyDescent="0.25">
      <c r="C2135" s="37"/>
    </row>
    <row r="2136" spans="3:3" x14ac:dyDescent="0.25">
      <c r="C2136" s="37"/>
    </row>
    <row r="2137" spans="3:3" x14ac:dyDescent="0.25">
      <c r="C2137" s="37"/>
    </row>
    <row r="2138" spans="3:3" x14ac:dyDescent="0.25">
      <c r="C2138" s="37"/>
    </row>
    <row r="2139" spans="3:3" x14ac:dyDescent="0.25">
      <c r="C2139" s="37"/>
    </row>
    <row r="2140" spans="3:3" x14ac:dyDescent="0.25">
      <c r="C2140" s="37"/>
    </row>
    <row r="2141" spans="3:3" x14ac:dyDescent="0.25">
      <c r="C2141" s="37"/>
    </row>
    <row r="2142" spans="3:3" x14ac:dyDescent="0.25">
      <c r="C2142" s="37"/>
    </row>
    <row r="2143" spans="3:3" x14ac:dyDescent="0.25">
      <c r="C2143" s="37"/>
    </row>
    <row r="2144" spans="3:3" x14ac:dyDescent="0.25">
      <c r="C2144" s="37"/>
    </row>
    <row r="2145" spans="3:3" x14ac:dyDescent="0.25">
      <c r="C2145" s="37"/>
    </row>
    <row r="2146" spans="3:3" x14ac:dyDescent="0.25">
      <c r="C2146" s="37"/>
    </row>
    <row r="2147" spans="3:3" x14ac:dyDescent="0.25">
      <c r="C2147" s="37"/>
    </row>
    <row r="2148" spans="3:3" x14ac:dyDescent="0.25">
      <c r="C2148" s="37"/>
    </row>
    <row r="2149" spans="3:3" x14ac:dyDescent="0.25">
      <c r="C2149" s="37"/>
    </row>
    <row r="2150" spans="3:3" x14ac:dyDescent="0.25">
      <c r="C2150" s="37"/>
    </row>
    <row r="2151" spans="3:3" x14ac:dyDescent="0.25">
      <c r="C2151" s="37"/>
    </row>
    <row r="2152" spans="3:3" x14ac:dyDescent="0.25">
      <c r="C2152" s="37"/>
    </row>
    <row r="2153" spans="3:3" x14ac:dyDescent="0.25">
      <c r="C2153" s="37"/>
    </row>
    <row r="2154" spans="3:3" x14ac:dyDescent="0.25">
      <c r="C2154" s="37"/>
    </row>
    <row r="2155" spans="3:3" x14ac:dyDescent="0.25">
      <c r="C2155" s="37"/>
    </row>
    <row r="2156" spans="3:3" x14ac:dyDescent="0.25">
      <c r="C2156" s="37"/>
    </row>
    <row r="2157" spans="3:3" x14ac:dyDescent="0.25">
      <c r="C2157" s="37"/>
    </row>
    <row r="2158" spans="3:3" x14ac:dyDescent="0.25">
      <c r="C2158" s="37"/>
    </row>
    <row r="2159" spans="3:3" x14ac:dyDescent="0.25">
      <c r="C2159" s="37"/>
    </row>
    <row r="2160" spans="3:3" x14ac:dyDescent="0.25">
      <c r="C2160" s="37"/>
    </row>
    <row r="2161" spans="3:3" x14ac:dyDescent="0.25">
      <c r="C2161" s="37"/>
    </row>
    <row r="2162" spans="3:3" x14ac:dyDescent="0.25">
      <c r="C2162" s="37"/>
    </row>
    <row r="2163" spans="3:3" x14ac:dyDescent="0.25">
      <c r="C2163" s="37"/>
    </row>
    <row r="2164" spans="3:3" x14ac:dyDescent="0.25">
      <c r="C2164" s="37"/>
    </row>
    <row r="2165" spans="3:3" x14ac:dyDescent="0.25">
      <c r="C2165" s="37"/>
    </row>
    <row r="2166" spans="3:3" x14ac:dyDescent="0.25">
      <c r="C2166" s="37"/>
    </row>
    <row r="2167" spans="3:3" x14ac:dyDescent="0.25">
      <c r="C2167" s="37"/>
    </row>
    <row r="2168" spans="3:3" x14ac:dyDescent="0.25">
      <c r="C2168" s="37"/>
    </row>
    <row r="2169" spans="3:3" x14ac:dyDescent="0.25">
      <c r="C2169" s="37"/>
    </row>
    <row r="2170" spans="3:3" x14ac:dyDescent="0.25">
      <c r="C2170" s="37"/>
    </row>
    <row r="2171" spans="3:3" x14ac:dyDescent="0.25">
      <c r="C2171" s="37"/>
    </row>
    <row r="2172" spans="3:3" x14ac:dyDescent="0.25">
      <c r="C2172" s="37"/>
    </row>
    <row r="2173" spans="3:3" x14ac:dyDescent="0.25">
      <c r="C2173" s="37"/>
    </row>
    <row r="2174" spans="3:3" x14ac:dyDescent="0.25">
      <c r="C2174" s="37"/>
    </row>
    <row r="2175" spans="3:3" x14ac:dyDescent="0.25">
      <c r="C2175" s="37"/>
    </row>
    <row r="2176" spans="3:3" x14ac:dyDescent="0.25">
      <c r="C2176" s="37"/>
    </row>
    <row r="2177" spans="3:3" x14ac:dyDescent="0.25">
      <c r="C2177" s="37"/>
    </row>
    <row r="2178" spans="3:3" x14ac:dyDescent="0.25">
      <c r="C2178" s="37"/>
    </row>
    <row r="2179" spans="3:3" x14ac:dyDescent="0.25">
      <c r="C2179" s="37"/>
    </row>
    <row r="2180" spans="3:3" x14ac:dyDescent="0.25">
      <c r="C2180" s="37"/>
    </row>
    <row r="2181" spans="3:3" x14ac:dyDescent="0.25">
      <c r="C2181" s="37"/>
    </row>
    <row r="2182" spans="3:3" x14ac:dyDescent="0.25">
      <c r="C2182" s="37"/>
    </row>
    <row r="2183" spans="3:3" x14ac:dyDescent="0.25">
      <c r="C2183" s="37"/>
    </row>
    <row r="2184" spans="3:3" x14ac:dyDescent="0.25">
      <c r="C2184" s="37"/>
    </row>
    <row r="2185" spans="3:3" x14ac:dyDescent="0.25">
      <c r="C2185" s="37"/>
    </row>
    <row r="2186" spans="3:3" x14ac:dyDescent="0.25">
      <c r="C2186" s="37"/>
    </row>
    <row r="2187" spans="3:3" x14ac:dyDescent="0.25">
      <c r="C2187" s="37"/>
    </row>
    <row r="2188" spans="3:3" x14ac:dyDescent="0.25">
      <c r="C2188" s="37"/>
    </row>
    <row r="2189" spans="3:3" x14ac:dyDescent="0.25">
      <c r="C2189" s="37"/>
    </row>
    <row r="2190" spans="3:3" x14ac:dyDescent="0.25">
      <c r="C2190" s="37"/>
    </row>
    <row r="2191" spans="3:3" x14ac:dyDescent="0.25">
      <c r="C2191" s="37"/>
    </row>
    <row r="2192" spans="3:3" x14ac:dyDescent="0.25">
      <c r="C2192" s="37"/>
    </row>
    <row r="2193" spans="3:3" x14ac:dyDescent="0.25">
      <c r="C2193" s="37"/>
    </row>
    <row r="2194" spans="3:3" x14ac:dyDescent="0.25">
      <c r="C2194" s="37"/>
    </row>
    <row r="2195" spans="3:3" x14ac:dyDescent="0.25">
      <c r="C2195" s="37"/>
    </row>
    <row r="2196" spans="3:3" x14ac:dyDescent="0.25">
      <c r="C2196" s="37"/>
    </row>
    <row r="2197" spans="3:3" x14ac:dyDescent="0.25">
      <c r="C2197" s="37"/>
    </row>
    <row r="2198" spans="3:3" x14ac:dyDescent="0.25">
      <c r="C2198" s="37"/>
    </row>
    <row r="2199" spans="3:3" x14ac:dyDescent="0.25">
      <c r="C2199" s="37"/>
    </row>
    <row r="2200" spans="3:3" x14ac:dyDescent="0.25">
      <c r="C2200" s="37"/>
    </row>
    <row r="2201" spans="3:3" x14ac:dyDescent="0.25">
      <c r="C2201" s="37"/>
    </row>
    <row r="2202" spans="3:3" x14ac:dyDescent="0.25">
      <c r="C2202" s="37"/>
    </row>
    <row r="2203" spans="3:3" x14ac:dyDescent="0.25">
      <c r="C2203" s="37"/>
    </row>
    <row r="2204" spans="3:3" x14ac:dyDescent="0.25">
      <c r="C2204" s="37"/>
    </row>
    <row r="2205" spans="3:3" x14ac:dyDescent="0.25">
      <c r="C2205" s="37"/>
    </row>
    <row r="2206" spans="3:3" x14ac:dyDescent="0.25">
      <c r="C2206" s="37"/>
    </row>
    <row r="2207" spans="3:3" x14ac:dyDescent="0.25">
      <c r="C2207" s="37"/>
    </row>
    <row r="2208" spans="3:3" x14ac:dyDescent="0.25">
      <c r="C2208" s="37"/>
    </row>
    <row r="2209" spans="3:3" x14ac:dyDescent="0.25">
      <c r="C2209" s="37"/>
    </row>
    <row r="2210" spans="3:3" x14ac:dyDescent="0.25">
      <c r="C2210" s="37"/>
    </row>
    <row r="2211" spans="3:3" x14ac:dyDescent="0.25">
      <c r="C2211" s="37"/>
    </row>
    <row r="2212" spans="3:3" x14ac:dyDescent="0.25">
      <c r="C2212" s="37"/>
    </row>
    <row r="2213" spans="3:3" x14ac:dyDescent="0.25">
      <c r="C2213" s="37"/>
    </row>
    <row r="2214" spans="3:3" x14ac:dyDescent="0.25">
      <c r="C2214" s="37"/>
    </row>
    <row r="2215" spans="3:3" x14ac:dyDescent="0.25">
      <c r="C2215" s="37"/>
    </row>
    <row r="2216" spans="3:3" x14ac:dyDescent="0.25">
      <c r="C2216" s="37"/>
    </row>
    <row r="2217" spans="3:3" x14ac:dyDescent="0.25">
      <c r="C2217" s="37"/>
    </row>
    <row r="2218" spans="3:3" x14ac:dyDescent="0.25">
      <c r="C2218" s="37"/>
    </row>
    <row r="2219" spans="3:3" x14ac:dyDescent="0.25">
      <c r="C2219" s="37"/>
    </row>
    <row r="2220" spans="3:3" x14ac:dyDescent="0.25">
      <c r="C2220" s="37"/>
    </row>
    <row r="2221" spans="3:3" x14ac:dyDescent="0.25">
      <c r="C2221" s="37"/>
    </row>
    <row r="2222" spans="3:3" x14ac:dyDescent="0.25">
      <c r="C2222" s="37"/>
    </row>
    <row r="2223" spans="3:3" x14ac:dyDescent="0.25">
      <c r="C2223" s="37"/>
    </row>
    <row r="2224" spans="3:3" x14ac:dyDescent="0.25">
      <c r="C2224" s="37"/>
    </row>
    <row r="2225" spans="3:3" x14ac:dyDescent="0.25">
      <c r="C2225" s="37"/>
    </row>
    <row r="2226" spans="3:3" x14ac:dyDescent="0.25">
      <c r="C2226" s="37"/>
    </row>
    <row r="2227" spans="3:3" x14ac:dyDescent="0.25">
      <c r="C2227" s="37"/>
    </row>
    <row r="2228" spans="3:3" x14ac:dyDescent="0.25">
      <c r="C2228" s="37"/>
    </row>
    <row r="2229" spans="3:3" x14ac:dyDescent="0.25">
      <c r="C2229" s="37"/>
    </row>
    <row r="2230" spans="3:3" x14ac:dyDescent="0.25">
      <c r="C2230" s="37"/>
    </row>
    <row r="2231" spans="3:3" x14ac:dyDescent="0.25">
      <c r="C2231" s="37"/>
    </row>
    <row r="2232" spans="3:3" x14ac:dyDescent="0.25">
      <c r="C2232" s="37"/>
    </row>
    <row r="2233" spans="3:3" x14ac:dyDescent="0.25">
      <c r="C2233" s="37"/>
    </row>
    <row r="2234" spans="3:3" x14ac:dyDescent="0.25">
      <c r="C2234" s="37"/>
    </row>
    <row r="2235" spans="3:3" x14ac:dyDescent="0.25">
      <c r="C2235" s="37"/>
    </row>
    <row r="2236" spans="3:3" x14ac:dyDescent="0.25">
      <c r="C2236" s="37"/>
    </row>
    <row r="2237" spans="3:3" x14ac:dyDescent="0.25">
      <c r="C2237" s="37"/>
    </row>
    <row r="2238" spans="3:3" x14ac:dyDescent="0.25">
      <c r="C2238" s="37"/>
    </row>
    <row r="2239" spans="3:3" x14ac:dyDescent="0.25">
      <c r="C2239" s="37"/>
    </row>
    <row r="2240" spans="3:3" x14ac:dyDescent="0.25">
      <c r="C2240" s="37"/>
    </row>
    <row r="2241" spans="3:3" x14ac:dyDescent="0.25">
      <c r="C2241" s="37"/>
    </row>
    <row r="2242" spans="3:3" x14ac:dyDescent="0.25">
      <c r="C2242" s="37"/>
    </row>
    <row r="2243" spans="3:3" x14ac:dyDescent="0.25">
      <c r="C2243" s="37"/>
    </row>
    <row r="2244" spans="3:3" x14ac:dyDescent="0.25">
      <c r="C2244" s="37"/>
    </row>
    <row r="2245" spans="3:3" x14ac:dyDescent="0.25">
      <c r="C2245" s="37"/>
    </row>
    <row r="2246" spans="3:3" x14ac:dyDescent="0.25">
      <c r="C2246" s="37"/>
    </row>
    <row r="2247" spans="3:3" x14ac:dyDescent="0.25">
      <c r="C2247" s="37"/>
    </row>
    <row r="2248" spans="3:3" x14ac:dyDescent="0.25">
      <c r="C2248" s="37"/>
    </row>
    <row r="2249" spans="3:3" x14ac:dyDescent="0.25">
      <c r="C2249" s="37"/>
    </row>
    <row r="2250" spans="3:3" x14ac:dyDescent="0.25">
      <c r="C2250" s="37"/>
    </row>
    <row r="2251" spans="3:3" x14ac:dyDescent="0.25">
      <c r="C2251" s="37"/>
    </row>
    <row r="2252" spans="3:3" x14ac:dyDescent="0.25">
      <c r="C2252" s="37"/>
    </row>
    <row r="2253" spans="3:3" x14ac:dyDescent="0.25">
      <c r="C2253" s="37"/>
    </row>
    <row r="2254" spans="3:3" x14ac:dyDescent="0.25">
      <c r="C2254" s="37"/>
    </row>
    <row r="2255" spans="3:3" x14ac:dyDescent="0.25">
      <c r="C2255" s="37"/>
    </row>
    <row r="2256" spans="3:3" x14ac:dyDescent="0.25">
      <c r="C2256" s="37"/>
    </row>
    <row r="2257" spans="3:3" x14ac:dyDescent="0.25">
      <c r="C2257" s="37"/>
    </row>
    <row r="2258" spans="3:3" x14ac:dyDescent="0.25">
      <c r="C2258" s="37"/>
    </row>
    <row r="2259" spans="3:3" x14ac:dyDescent="0.25">
      <c r="C2259" s="37"/>
    </row>
    <row r="2260" spans="3:3" x14ac:dyDescent="0.25">
      <c r="C2260" s="37"/>
    </row>
    <row r="2261" spans="3:3" x14ac:dyDescent="0.25">
      <c r="C2261" s="37"/>
    </row>
    <row r="2262" spans="3:3" x14ac:dyDescent="0.25">
      <c r="C2262" s="37"/>
    </row>
    <row r="2263" spans="3:3" x14ac:dyDescent="0.25">
      <c r="C2263" s="37"/>
    </row>
    <row r="2264" spans="3:3" x14ac:dyDescent="0.25">
      <c r="C2264" s="37"/>
    </row>
    <row r="2265" spans="3:3" x14ac:dyDescent="0.25">
      <c r="C2265" s="37"/>
    </row>
    <row r="2266" spans="3:3" x14ac:dyDescent="0.25">
      <c r="C2266" s="37"/>
    </row>
    <row r="2267" spans="3:3" x14ac:dyDescent="0.25">
      <c r="C2267" s="37"/>
    </row>
    <row r="2268" spans="3:3" x14ac:dyDescent="0.25">
      <c r="C2268" s="37"/>
    </row>
    <row r="2269" spans="3:3" x14ac:dyDescent="0.25">
      <c r="C2269" s="37"/>
    </row>
    <row r="2270" spans="3:3" x14ac:dyDescent="0.25">
      <c r="C2270" s="37"/>
    </row>
    <row r="2271" spans="3:3" x14ac:dyDescent="0.25">
      <c r="C2271" s="37"/>
    </row>
    <row r="2272" spans="3:3" x14ac:dyDescent="0.25">
      <c r="C2272" s="37"/>
    </row>
    <row r="2273" spans="3:3" x14ac:dyDescent="0.25">
      <c r="C2273" s="37"/>
    </row>
    <row r="2274" spans="3:3" x14ac:dyDescent="0.25">
      <c r="C2274" s="37"/>
    </row>
    <row r="2275" spans="3:3" x14ac:dyDescent="0.25">
      <c r="C2275" s="37"/>
    </row>
    <row r="2276" spans="3:3" x14ac:dyDescent="0.25">
      <c r="C2276" s="37"/>
    </row>
    <row r="2277" spans="3:3" x14ac:dyDescent="0.25">
      <c r="C2277" s="37"/>
    </row>
    <row r="2278" spans="3:3" x14ac:dyDescent="0.25">
      <c r="C2278" s="37"/>
    </row>
    <row r="2279" spans="3:3" x14ac:dyDescent="0.25">
      <c r="C2279" s="37"/>
    </row>
    <row r="2280" spans="3:3" x14ac:dyDescent="0.25">
      <c r="C2280" s="37"/>
    </row>
    <row r="2281" spans="3:3" x14ac:dyDescent="0.25">
      <c r="C2281" s="37"/>
    </row>
    <row r="2282" spans="3:3" x14ac:dyDescent="0.25">
      <c r="C2282" s="37"/>
    </row>
    <row r="2283" spans="3:3" x14ac:dyDescent="0.25">
      <c r="C2283" s="37"/>
    </row>
    <row r="2284" spans="3:3" x14ac:dyDescent="0.25">
      <c r="C2284" s="37"/>
    </row>
    <row r="2285" spans="3:3" x14ac:dyDescent="0.25">
      <c r="C2285" s="37"/>
    </row>
    <row r="2286" spans="3:3" x14ac:dyDescent="0.25">
      <c r="C2286" s="37"/>
    </row>
    <row r="2287" spans="3:3" x14ac:dyDescent="0.25">
      <c r="C2287" s="37"/>
    </row>
    <row r="2288" spans="3:3" x14ac:dyDescent="0.25">
      <c r="C2288" s="37"/>
    </row>
    <row r="2289" spans="3:3" x14ac:dyDescent="0.25">
      <c r="C2289" s="37"/>
    </row>
    <row r="2290" spans="3:3" x14ac:dyDescent="0.25">
      <c r="C2290" s="37"/>
    </row>
    <row r="2291" spans="3:3" x14ac:dyDescent="0.25">
      <c r="C2291" s="37"/>
    </row>
    <row r="2292" spans="3:3" x14ac:dyDescent="0.25">
      <c r="C2292" s="37"/>
    </row>
    <row r="2293" spans="3:3" x14ac:dyDescent="0.25">
      <c r="C2293" s="37"/>
    </row>
    <row r="2294" spans="3:3" x14ac:dyDescent="0.25">
      <c r="C2294" s="37"/>
    </row>
    <row r="2295" spans="3:3" x14ac:dyDescent="0.25">
      <c r="C2295" s="37"/>
    </row>
    <row r="2296" spans="3:3" x14ac:dyDescent="0.25">
      <c r="C2296" s="37"/>
    </row>
    <row r="2297" spans="3:3" x14ac:dyDescent="0.25">
      <c r="C2297" s="37"/>
    </row>
    <row r="2298" spans="3:3" x14ac:dyDescent="0.25">
      <c r="C2298" s="37"/>
    </row>
    <row r="2299" spans="3:3" x14ac:dyDescent="0.25">
      <c r="C2299" s="37"/>
    </row>
    <row r="2300" spans="3:3" x14ac:dyDescent="0.25">
      <c r="C2300" s="37"/>
    </row>
    <row r="2301" spans="3:3" x14ac:dyDescent="0.25">
      <c r="C2301" s="37"/>
    </row>
    <row r="2302" spans="3:3" x14ac:dyDescent="0.25">
      <c r="C2302" s="37"/>
    </row>
    <row r="2303" spans="3:3" x14ac:dyDescent="0.25">
      <c r="C2303" s="37"/>
    </row>
    <row r="2304" spans="3:3" x14ac:dyDescent="0.25">
      <c r="C2304" s="37"/>
    </row>
    <row r="2305" spans="3:3" x14ac:dyDescent="0.25">
      <c r="C2305" s="37"/>
    </row>
    <row r="2306" spans="3:3" x14ac:dyDescent="0.25">
      <c r="C2306" s="37"/>
    </row>
    <row r="2307" spans="3:3" x14ac:dyDescent="0.25">
      <c r="C2307" s="37"/>
    </row>
    <row r="2308" spans="3:3" x14ac:dyDescent="0.25">
      <c r="C2308" s="37"/>
    </row>
    <row r="2309" spans="3:3" x14ac:dyDescent="0.25">
      <c r="C2309" s="37"/>
    </row>
    <row r="2310" spans="3:3" x14ac:dyDescent="0.25">
      <c r="C2310" s="37"/>
    </row>
    <row r="2311" spans="3:3" x14ac:dyDescent="0.25">
      <c r="C2311" s="37"/>
    </row>
    <row r="2312" spans="3:3" x14ac:dyDescent="0.25">
      <c r="C2312" s="37"/>
    </row>
    <row r="2313" spans="3:3" x14ac:dyDescent="0.25">
      <c r="C2313" s="37"/>
    </row>
    <row r="2314" spans="3:3" x14ac:dyDescent="0.25">
      <c r="C2314" s="37"/>
    </row>
    <row r="2315" spans="3:3" x14ac:dyDescent="0.25">
      <c r="C2315" s="37"/>
    </row>
    <row r="2316" spans="3:3" x14ac:dyDescent="0.25">
      <c r="C2316" s="37"/>
    </row>
    <row r="2317" spans="3:3" x14ac:dyDescent="0.25">
      <c r="C2317" s="37"/>
    </row>
    <row r="2318" spans="3:3" x14ac:dyDescent="0.25">
      <c r="C2318" s="37"/>
    </row>
    <row r="2319" spans="3:3" x14ac:dyDescent="0.25">
      <c r="C2319" s="37"/>
    </row>
    <row r="2320" spans="3:3" x14ac:dyDescent="0.25">
      <c r="C2320" s="37"/>
    </row>
    <row r="2321" spans="3:3" x14ac:dyDescent="0.25">
      <c r="C2321" s="37"/>
    </row>
    <row r="2322" spans="3:3" x14ac:dyDescent="0.25">
      <c r="C2322" s="37"/>
    </row>
    <row r="2323" spans="3:3" x14ac:dyDescent="0.25">
      <c r="C2323" s="37"/>
    </row>
    <row r="2324" spans="3:3" x14ac:dyDescent="0.25">
      <c r="C2324" s="37"/>
    </row>
    <row r="2325" spans="3:3" x14ac:dyDescent="0.25">
      <c r="C2325" s="37"/>
    </row>
    <row r="2326" spans="3:3" x14ac:dyDescent="0.25">
      <c r="C2326" s="37"/>
    </row>
    <row r="2327" spans="3:3" x14ac:dyDescent="0.25">
      <c r="C2327" s="37"/>
    </row>
    <row r="2328" spans="3:3" x14ac:dyDescent="0.25">
      <c r="C2328" s="37"/>
    </row>
    <row r="2329" spans="3:3" x14ac:dyDescent="0.25">
      <c r="C2329" s="37"/>
    </row>
    <row r="2330" spans="3:3" x14ac:dyDescent="0.25">
      <c r="C2330" s="37"/>
    </row>
    <row r="2331" spans="3:3" x14ac:dyDescent="0.25">
      <c r="C2331" s="37"/>
    </row>
    <row r="2332" spans="3:3" x14ac:dyDescent="0.25">
      <c r="C2332" s="37"/>
    </row>
    <row r="2333" spans="3:3" x14ac:dyDescent="0.25">
      <c r="C2333" s="37"/>
    </row>
    <row r="2334" spans="3:3" x14ac:dyDescent="0.25">
      <c r="C2334" s="37"/>
    </row>
    <row r="2335" spans="3:3" x14ac:dyDescent="0.25">
      <c r="C2335" s="37"/>
    </row>
    <row r="2336" spans="3:3" x14ac:dyDescent="0.25">
      <c r="C2336" s="37"/>
    </row>
    <row r="2337" spans="3:3" x14ac:dyDescent="0.25">
      <c r="C2337" s="37"/>
    </row>
    <row r="2338" spans="3:3" x14ac:dyDescent="0.25">
      <c r="C2338" s="37"/>
    </row>
    <row r="2339" spans="3:3" x14ac:dyDescent="0.25">
      <c r="C2339" s="37"/>
    </row>
    <row r="2340" spans="3:3" x14ac:dyDescent="0.25">
      <c r="C2340" s="37"/>
    </row>
    <row r="2341" spans="3:3" x14ac:dyDescent="0.25">
      <c r="C2341" s="37"/>
    </row>
    <row r="2342" spans="3:3" x14ac:dyDescent="0.25">
      <c r="C2342" s="37"/>
    </row>
    <row r="2343" spans="3:3" x14ac:dyDescent="0.25">
      <c r="C2343" s="37"/>
    </row>
    <row r="2344" spans="3:3" x14ac:dyDescent="0.25">
      <c r="C2344" s="37"/>
    </row>
    <row r="2345" spans="3:3" x14ac:dyDescent="0.25">
      <c r="C2345" s="37"/>
    </row>
    <row r="2346" spans="3:3" x14ac:dyDescent="0.25">
      <c r="C2346" s="37"/>
    </row>
    <row r="2347" spans="3:3" x14ac:dyDescent="0.25">
      <c r="C2347" s="37"/>
    </row>
    <row r="2348" spans="3:3" x14ac:dyDescent="0.25">
      <c r="C2348" s="37"/>
    </row>
    <row r="2349" spans="3:3" x14ac:dyDescent="0.25">
      <c r="C2349" s="37"/>
    </row>
    <row r="2350" spans="3:3" x14ac:dyDescent="0.25">
      <c r="C2350" s="37"/>
    </row>
    <row r="2351" spans="3:3" x14ac:dyDescent="0.25">
      <c r="C2351" s="37"/>
    </row>
    <row r="2352" spans="3:3" x14ac:dyDescent="0.25">
      <c r="C2352" s="37"/>
    </row>
    <row r="2353" spans="3:3" x14ac:dyDescent="0.25">
      <c r="C2353" s="37"/>
    </row>
    <row r="2354" spans="3:3" x14ac:dyDescent="0.25">
      <c r="C2354" s="37"/>
    </row>
    <row r="2355" spans="3:3" x14ac:dyDescent="0.25">
      <c r="C2355" s="37"/>
    </row>
    <row r="2356" spans="3:3" x14ac:dyDescent="0.25">
      <c r="C2356" s="37"/>
    </row>
    <row r="2357" spans="3:3" x14ac:dyDescent="0.25">
      <c r="C2357" s="37"/>
    </row>
    <row r="2358" spans="3:3" x14ac:dyDescent="0.25">
      <c r="C2358" s="37"/>
    </row>
    <row r="2359" spans="3:3" x14ac:dyDescent="0.25">
      <c r="C2359" s="37"/>
    </row>
    <row r="2360" spans="3:3" x14ac:dyDescent="0.25">
      <c r="C2360" s="37"/>
    </row>
    <row r="2361" spans="3:3" x14ac:dyDescent="0.25">
      <c r="C2361" s="37"/>
    </row>
    <row r="2362" spans="3:3" x14ac:dyDescent="0.25">
      <c r="C2362" s="37"/>
    </row>
    <row r="2363" spans="3:3" x14ac:dyDescent="0.25">
      <c r="C2363" s="37"/>
    </row>
    <row r="2364" spans="3:3" x14ac:dyDescent="0.25">
      <c r="C2364" s="37"/>
    </row>
    <row r="2365" spans="3:3" x14ac:dyDescent="0.25">
      <c r="C2365" s="37"/>
    </row>
    <row r="2366" spans="3:3" x14ac:dyDescent="0.25">
      <c r="C2366" s="37"/>
    </row>
    <row r="2367" spans="3:3" x14ac:dyDescent="0.25">
      <c r="C2367" s="37"/>
    </row>
    <row r="2368" spans="3:3" x14ac:dyDescent="0.25">
      <c r="C2368" s="37"/>
    </row>
    <row r="2369" spans="3:3" x14ac:dyDescent="0.25">
      <c r="C2369" s="37"/>
    </row>
    <row r="2370" spans="3:3" x14ac:dyDescent="0.25">
      <c r="C2370" s="37"/>
    </row>
    <row r="2371" spans="3:3" x14ac:dyDescent="0.25">
      <c r="C2371" s="37"/>
    </row>
    <row r="2372" spans="3:3" x14ac:dyDescent="0.25">
      <c r="C2372" s="37"/>
    </row>
    <row r="2373" spans="3:3" x14ac:dyDescent="0.25">
      <c r="C2373" s="37"/>
    </row>
    <row r="2374" spans="3:3" x14ac:dyDescent="0.25">
      <c r="C2374" s="37"/>
    </row>
    <row r="2375" spans="3:3" x14ac:dyDescent="0.25">
      <c r="C2375" s="37"/>
    </row>
    <row r="2376" spans="3:3" x14ac:dyDescent="0.25">
      <c r="C2376" s="37"/>
    </row>
    <row r="2377" spans="3:3" x14ac:dyDescent="0.25">
      <c r="C2377" s="37"/>
    </row>
    <row r="2378" spans="3:3" x14ac:dyDescent="0.25">
      <c r="C2378" s="37"/>
    </row>
    <row r="2379" spans="3:3" x14ac:dyDescent="0.25">
      <c r="C2379" s="37"/>
    </row>
    <row r="2380" spans="3:3" x14ac:dyDescent="0.25">
      <c r="C2380" s="37"/>
    </row>
    <row r="2381" spans="3:3" x14ac:dyDescent="0.25">
      <c r="C2381" s="37"/>
    </row>
    <row r="2382" spans="3:3" x14ac:dyDescent="0.25">
      <c r="C2382" s="37"/>
    </row>
    <row r="2383" spans="3:3" x14ac:dyDescent="0.25">
      <c r="C2383" s="37"/>
    </row>
    <row r="2384" spans="3:3" x14ac:dyDescent="0.25">
      <c r="C2384" s="37"/>
    </row>
    <row r="2385" spans="3:3" x14ac:dyDescent="0.25">
      <c r="C2385" s="37"/>
    </row>
    <row r="2386" spans="3:3" x14ac:dyDescent="0.25">
      <c r="C2386" s="37"/>
    </row>
    <row r="2387" spans="3:3" x14ac:dyDescent="0.25">
      <c r="C2387" s="37"/>
    </row>
    <row r="2388" spans="3:3" x14ac:dyDescent="0.25">
      <c r="C2388" s="37"/>
    </row>
    <row r="2389" spans="3:3" x14ac:dyDescent="0.25">
      <c r="C2389" s="37"/>
    </row>
    <row r="2390" spans="3:3" x14ac:dyDescent="0.25">
      <c r="C2390" s="37"/>
    </row>
    <row r="2391" spans="3:3" x14ac:dyDescent="0.25">
      <c r="C2391" s="37"/>
    </row>
    <row r="2392" spans="3:3" x14ac:dyDescent="0.25">
      <c r="C2392" s="37"/>
    </row>
    <row r="2393" spans="3:3" x14ac:dyDescent="0.25">
      <c r="C2393" s="37"/>
    </row>
    <row r="2394" spans="3:3" x14ac:dyDescent="0.25">
      <c r="C2394" s="37"/>
    </row>
    <row r="2395" spans="3:3" x14ac:dyDescent="0.25">
      <c r="C2395" s="37"/>
    </row>
    <row r="2396" spans="3:3" x14ac:dyDescent="0.25">
      <c r="C2396" s="37"/>
    </row>
    <row r="2397" spans="3:3" x14ac:dyDescent="0.25">
      <c r="C2397" s="37"/>
    </row>
    <row r="2398" spans="3:3" x14ac:dyDescent="0.25">
      <c r="C2398" s="37"/>
    </row>
    <row r="2399" spans="3:3" x14ac:dyDescent="0.25">
      <c r="C2399" s="37"/>
    </row>
    <row r="2400" spans="3:3" x14ac:dyDescent="0.25">
      <c r="C2400" s="37"/>
    </row>
    <row r="2401" spans="3:3" x14ac:dyDescent="0.25">
      <c r="C2401" s="37"/>
    </row>
    <row r="2402" spans="3:3" x14ac:dyDescent="0.25">
      <c r="C2402" s="37"/>
    </row>
    <row r="2403" spans="3:3" x14ac:dyDescent="0.25">
      <c r="C2403" s="37"/>
    </row>
    <row r="2404" spans="3:3" x14ac:dyDescent="0.25">
      <c r="C2404" s="37"/>
    </row>
    <row r="2405" spans="3:3" x14ac:dyDescent="0.25">
      <c r="C2405" s="37"/>
    </row>
    <row r="2406" spans="3:3" x14ac:dyDescent="0.25">
      <c r="C2406" s="37"/>
    </row>
    <row r="2407" spans="3:3" x14ac:dyDescent="0.25">
      <c r="C2407" s="37"/>
    </row>
    <row r="2408" spans="3:3" x14ac:dyDescent="0.25">
      <c r="C2408" s="37"/>
    </row>
    <row r="2409" spans="3:3" x14ac:dyDescent="0.25">
      <c r="C2409" s="37"/>
    </row>
    <row r="2410" spans="3:3" x14ac:dyDescent="0.25">
      <c r="C2410" s="37"/>
    </row>
    <row r="2411" spans="3:3" x14ac:dyDescent="0.25">
      <c r="C2411" s="37"/>
    </row>
    <row r="2412" spans="3:3" x14ac:dyDescent="0.25">
      <c r="C2412" s="37"/>
    </row>
    <row r="2413" spans="3:3" x14ac:dyDescent="0.25">
      <c r="C2413" s="37"/>
    </row>
    <row r="2414" spans="3:3" x14ac:dyDescent="0.25">
      <c r="C2414" s="37"/>
    </row>
    <row r="2415" spans="3:3" x14ac:dyDescent="0.25">
      <c r="C2415" s="37"/>
    </row>
    <row r="2416" spans="3:3" x14ac:dyDescent="0.25">
      <c r="C2416" s="37"/>
    </row>
    <row r="2417" spans="3:3" x14ac:dyDescent="0.25">
      <c r="C2417" s="37"/>
    </row>
    <row r="2418" spans="3:3" x14ac:dyDescent="0.25">
      <c r="C2418" s="37"/>
    </row>
    <row r="2419" spans="3:3" x14ac:dyDescent="0.25">
      <c r="C2419" s="37"/>
    </row>
    <row r="2420" spans="3:3" x14ac:dyDescent="0.25">
      <c r="C2420" s="37"/>
    </row>
    <row r="2421" spans="3:3" x14ac:dyDescent="0.25">
      <c r="C2421" s="37"/>
    </row>
    <row r="2422" spans="3:3" x14ac:dyDescent="0.25">
      <c r="C2422" s="37"/>
    </row>
    <row r="2423" spans="3:3" x14ac:dyDescent="0.25">
      <c r="C2423" s="37"/>
    </row>
    <row r="2424" spans="3:3" x14ac:dyDescent="0.25">
      <c r="C2424" s="37"/>
    </row>
    <row r="2425" spans="3:3" x14ac:dyDescent="0.25">
      <c r="C2425" s="37"/>
    </row>
    <row r="2426" spans="3:3" x14ac:dyDescent="0.25">
      <c r="C2426" s="37"/>
    </row>
    <row r="2427" spans="3:3" x14ac:dyDescent="0.25">
      <c r="C2427" s="37"/>
    </row>
    <row r="2428" spans="3:3" x14ac:dyDescent="0.25">
      <c r="C2428" s="37"/>
    </row>
    <row r="2429" spans="3:3" x14ac:dyDescent="0.25">
      <c r="C2429" s="37"/>
    </row>
    <row r="2430" spans="3:3" x14ac:dyDescent="0.25">
      <c r="C2430" s="37"/>
    </row>
    <row r="2431" spans="3:3" x14ac:dyDescent="0.25">
      <c r="C2431" s="37"/>
    </row>
    <row r="2432" spans="3:3" x14ac:dyDescent="0.25">
      <c r="C2432" s="37"/>
    </row>
    <row r="2433" spans="3:3" x14ac:dyDescent="0.25">
      <c r="C2433" s="37"/>
    </row>
    <row r="2434" spans="3:3" x14ac:dyDescent="0.25">
      <c r="C2434" s="37"/>
    </row>
    <row r="2435" spans="3:3" x14ac:dyDescent="0.25">
      <c r="C2435" s="37"/>
    </row>
    <row r="2436" spans="3:3" x14ac:dyDescent="0.25">
      <c r="C2436" s="37"/>
    </row>
    <row r="2437" spans="3:3" x14ac:dyDescent="0.25">
      <c r="C2437" s="37"/>
    </row>
    <row r="2438" spans="3:3" x14ac:dyDescent="0.25">
      <c r="C2438" s="37"/>
    </row>
    <row r="2439" spans="3:3" x14ac:dyDescent="0.25">
      <c r="C2439" s="37"/>
    </row>
    <row r="2440" spans="3:3" x14ac:dyDescent="0.25">
      <c r="C2440" s="37"/>
    </row>
    <row r="2441" spans="3:3" x14ac:dyDescent="0.25">
      <c r="C2441" s="37"/>
    </row>
    <row r="2442" spans="3:3" x14ac:dyDescent="0.25">
      <c r="C2442" s="37"/>
    </row>
    <row r="2443" spans="3:3" x14ac:dyDescent="0.25">
      <c r="C2443" s="37"/>
    </row>
    <row r="2444" spans="3:3" x14ac:dyDescent="0.25">
      <c r="C2444" s="37"/>
    </row>
    <row r="2445" spans="3:3" x14ac:dyDescent="0.25">
      <c r="C2445" s="37"/>
    </row>
    <row r="2446" spans="3:3" x14ac:dyDescent="0.25">
      <c r="C2446" s="37"/>
    </row>
    <row r="2447" spans="3:3" x14ac:dyDescent="0.25">
      <c r="C2447" s="37"/>
    </row>
    <row r="2448" spans="3:3" x14ac:dyDescent="0.25">
      <c r="C2448" s="37"/>
    </row>
    <row r="2449" spans="3:3" x14ac:dyDescent="0.25">
      <c r="C2449" s="37"/>
    </row>
    <row r="2450" spans="3:3" x14ac:dyDescent="0.25">
      <c r="C2450" s="37"/>
    </row>
    <row r="2451" spans="3:3" x14ac:dyDescent="0.25">
      <c r="C2451" s="37"/>
    </row>
    <row r="2452" spans="3:3" x14ac:dyDescent="0.25">
      <c r="C2452" s="37"/>
    </row>
    <row r="2453" spans="3:3" x14ac:dyDescent="0.25">
      <c r="C2453" s="37"/>
    </row>
    <row r="2454" spans="3:3" x14ac:dyDescent="0.25">
      <c r="C2454" s="37"/>
    </row>
    <row r="2455" spans="3:3" x14ac:dyDescent="0.25">
      <c r="C2455" s="37"/>
    </row>
    <row r="2456" spans="3:3" x14ac:dyDescent="0.25">
      <c r="C2456" s="37"/>
    </row>
    <row r="2457" spans="3:3" x14ac:dyDescent="0.25">
      <c r="C2457" s="37"/>
    </row>
    <row r="2458" spans="3:3" x14ac:dyDescent="0.25">
      <c r="C2458" s="37"/>
    </row>
    <row r="2459" spans="3:3" x14ac:dyDescent="0.25">
      <c r="C2459" s="37"/>
    </row>
    <row r="2460" spans="3:3" x14ac:dyDescent="0.25">
      <c r="C2460" s="37"/>
    </row>
    <row r="2461" spans="3:3" x14ac:dyDescent="0.25">
      <c r="C2461" s="37"/>
    </row>
    <row r="2462" spans="3:3" x14ac:dyDescent="0.25">
      <c r="C2462" s="37"/>
    </row>
    <row r="2463" spans="3:3" x14ac:dyDescent="0.25">
      <c r="C2463" s="37"/>
    </row>
    <row r="2464" spans="3:3" x14ac:dyDescent="0.25">
      <c r="C2464" s="37"/>
    </row>
    <row r="2465" spans="3:3" x14ac:dyDescent="0.25">
      <c r="C2465" s="37"/>
    </row>
    <row r="2466" spans="3:3" x14ac:dyDescent="0.25">
      <c r="C2466" s="37"/>
    </row>
    <row r="2467" spans="3:3" x14ac:dyDescent="0.25">
      <c r="C2467" s="37"/>
    </row>
    <row r="2468" spans="3:3" x14ac:dyDescent="0.25">
      <c r="C2468" s="37"/>
    </row>
    <row r="2469" spans="3:3" x14ac:dyDescent="0.25">
      <c r="C2469" s="37"/>
    </row>
    <row r="2470" spans="3:3" x14ac:dyDescent="0.25">
      <c r="C2470" s="37"/>
    </row>
    <row r="2471" spans="3:3" x14ac:dyDescent="0.25">
      <c r="C2471" s="37"/>
    </row>
    <row r="2472" spans="3:3" x14ac:dyDescent="0.25">
      <c r="C2472" s="37"/>
    </row>
    <row r="2473" spans="3:3" x14ac:dyDescent="0.25">
      <c r="C2473" s="37"/>
    </row>
    <row r="2474" spans="3:3" x14ac:dyDescent="0.25">
      <c r="C2474" s="37"/>
    </row>
    <row r="2475" spans="3:3" x14ac:dyDescent="0.25">
      <c r="C2475" s="37"/>
    </row>
    <row r="2476" spans="3:3" x14ac:dyDescent="0.25">
      <c r="C2476" s="37"/>
    </row>
    <row r="2477" spans="3:3" x14ac:dyDescent="0.25">
      <c r="C2477" s="37"/>
    </row>
    <row r="2478" spans="3:3" x14ac:dyDescent="0.25">
      <c r="C2478" s="37"/>
    </row>
    <row r="2479" spans="3:3" x14ac:dyDescent="0.25">
      <c r="C2479" s="37"/>
    </row>
    <row r="2480" spans="3:3" x14ac:dyDescent="0.25">
      <c r="C2480" s="37"/>
    </row>
    <row r="2481" spans="3:3" x14ac:dyDescent="0.25">
      <c r="C2481" s="37"/>
    </row>
    <row r="2482" spans="3:3" x14ac:dyDescent="0.25">
      <c r="C2482" s="37"/>
    </row>
    <row r="2483" spans="3:3" x14ac:dyDescent="0.25">
      <c r="C2483" s="37"/>
    </row>
    <row r="2484" spans="3:3" x14ac:dyDescent="0.25">
      <c r="C2484" s="37"/>
    </row>
    <row r="2485" spans="3:3" x14ac:dyDescent="0.25">
      <c r="C2485" s="37"/>
    </row>
    <row r="2486" spans="3:3" x14ac:dyDescent="0.25">
      <c r="C2486" s="37"/>
    </row>
    <row r="2487" spans="3:3" x14ac:dyDescent="0.25">
      <c r="C2487" s="37"/>
    </row>
    <row r="2488" spans="3:3" x14ac:dyDescent="0.25">
      <c r="C2488" s="37"/>
    </row>
    <row r="2489" spans="3:3" x14ac:dyDescent="0.25">
      <c r="C2489" s="37"/>
    </row>
    <row r="2490" spans="3:3" x14ac:dyDescent="0.25">
      <c r="C2490" s="37"/>
    </row>
    <row r="2491" spans="3:3" x14ac:dyDescent="0.25">
      <c r="C2491" s="37"/>
    </row>
    <row r="2492" spans="3:3" x14ac:dyDescent="0.25">
      <c r="C2492" s="37"/>
    </row>
    <row r="2493" spans="3:3" x14ac:dyDescent="0.25">
      <c r="C2493" s="37"/>
    </row>
    <row r="2494" spans="3:3" x14ac:dyDescent="0.25">
      <c r="C2494" s="37"/>
    </row>
    <row r="2495" spans="3:3" x14ac:dyDescent="0.25">
      <c r="C2495" s="37"/>
    </row>
    <row r="2496" spans="3:3" x14ac:dyDescent="0.25">
      <c r="C2496" s="37"/>
    </row>
    <row r="2497" spans="3:3" x14ac:dyDescent="0.25">
      <c r="C2497" s="37"/>
    </row>
    <row r="2498" spans="3:3" x14ac:dyDescent="0.25">
      <c r="C2498" s="37"/>
    </row>
    <row r="2499" spans="3:3" x14ac:dyDescent="0.25">
      <c r="C2499" s="37"/>
    </row>
    <row r="2500" spans="3:3" x14ac:dyDescent="0.25">
      <c r="C2500" s="37"/>
    </row>
    <row r="2501" spans="3:3" x14ac:dyDescent="0.25">
      <c r="C2501" s="37"/>
    </row>
    <row r="2502" spans="3:3" x14ac:dyDescent="0.25">
      <c r="C2502" s="37"/>
    </row>
    <row r="2503" spans="3:3" x14ac:dyDescent="0.25">
      <c r="C2503" s="37"/>
    </row>
    <row r="2504" spans="3:3" x14ac:dyDescent="0.25">
      <c r="C2504" s="37"/>
    </row>
    <row r="2505" spans="3:3" x14ac:dyDescent="0.25">
      <c r="C2505" s="37"/>
    </row>
    <row r="2506" spans="3:3" x14ac:dyDescent="0.25">
      <c r="C2506" s="37"/>
    </row>
    <row r="2507" spans="3:3" x14ac:dyDescent="0.25">
      <c r="C2507" s="37"/>
    </row>
    <row r="2508" spans="3:3" x14ac:dyDescent="0.25">
      <c r="C2508" s="37"/>
    </row>
    <row r="2509" spans="3:3" x14ac:dyDescent="0.25">
      <c r="C2509" s="37"/>
    </row>
    <row r="2510" spans="3:3" x14ac:dyDescent="0.25">
      <c r="C2510" s="37"/>
    </row>
    <row r="2511" spans="3:3" x14ac:dyDescent="0.25">
      <c r="C2511" s="37"/>
    </row>
    <row r="2512" spans="3:3" x14ac:dyDescent="0.25">
      <c r="C2512" s="37"/>
    </row>
    <row r="2513" spans="3:3" x14ac:dyDescent="0.25">
      <c r="C2513" s="37"/>
    </row>
    <row r="2514" spans="3:3" x14ac:dyDescent="0.25">
      <c r="C2514" s="37"/>
    </row>
    <row r="2515" spans="3:3" x14ac:dyDescent="0.25">
      <c r="C2515" s="37"/>
    </row>
    <row r="2516" spans="3:3" x14ac:dyDescent="0.25">
      <c r="C2516" s="37"/>
    </row>
    <row r="2517" spans="3:3" x14ac:dyDescent="0.25">
      <c r="C2517" s="37"/>
    </row>
    <row r="2518" spans="3:3" x14ac:dyDescent="0.25">
      <c r="C2518" s="37"/>
    </row>
    <row r="2519" spans="3:3" x14ac:dyDescent="0.25">
      <c r="C2519" s="37"/>
    </row>
    <row r="2520" spans="3:3" x14ac:dyDescent="0.25">
      <c r="C2520" s="37"/>
    </row>
    <row r="2521" spans="3:3" x14ac:dyDescent="0.25">
      <c r="C2521" s="37"/>
    </row>
    <row r="2522" spans="3:3" x14ac:dyDescent="0.25">
      <c r="C2522" s="37"/>
    </row>
    <row r="2523" spans="3:3" x14ac:dyDescent="0.25">
      <c r="C2523" s="37"/>
    </row>
    <row r="2524" spans="3:3" x14ac:dyDescent="0.25">
      <c r="C2524" s="37"/>
    </row>
    <row r="2525" spans="3:3" x14ac:dyDescent="0.25">
      <c r="C2525" s="37"/>
    </row>
    <row r="2526" spans="3:3" x14ac:dyDescent="0.25">
      <c r="C2526" s="37"/>
    </row>
    <row r="2527" spans="3:3" x14ac:dyDescent="0.25">
      <c r="C2527" s="37"/>
    </row>
    <row r="2528" spans="3:3" x14ac:dyDescent="0.25">
      <c r="C2528" s="37"/>
    </row>
    <row r="2529" spans="3:3" x14ac:dyDescent="0.25">
      <c r="C2529" s="37"/>
    </row>
    <row r="2530" spans="3:3" x14ac:dyDescent="0.25">
      <c r="C2530" s="37"/>
    </row>
    <row r="2531" spans="3:3" x14ac:dyDescent="0.25">
      <c r="C2531" s="37"/>
    </row>
    <row r="2532" spans="3:3" x14ac:dyDescent="0.25">
      <c r="C2532" s="37"/>
    </row>
    <row r="2533" spans="3:3" x14ac:dyDescent="0.25">
      <c r="C2533" s="37"/>
    </row>
    <row r="2534" spans="3:3" x14ac:dyDescent="0.25">
      <c r="C2534" s="37"/>
    </row>
    <row r="2535" spans="3:3" x14ac:dyDescent="0.25">
      <c r="C2535" s="37"/>
    </row>
    <row r="2536" spans="3:3" x14ac:dyDescent="0.25">
      <c r="C2536" s="37"/>
    </row>
    <row r="2537" spans="3:3" x14ac:dyDescent="0.25">
      <c r="C2537" s="37"/>
    </row>
    <row r="2538" spans="3:3" x14ac:dyDescent="0.25">
      <c r="C2538" s="37"/>
    </row>
    <row r="2539" spans="3:3" x14ac:dyDescent="0.25">
      <c r="C2539" s="37"/>
    </row>
    <row r="2540" spans="3:3" x14ac:dyDescent="0.25">
      <c r="C2540" s="37"/>
    </row>
    <row r="2541" spans="3:3" x14ac:dyDescent="0.25">
      <c r="C2541" s="37"/>
    </row>
    <row r="2542" spans="3:3" x14ac:dyDescent="0.25">
      <c r="C2542" s="37"/>
    </row>
    <row r="2543" spans="3:3" x14ac:dyDescent="0.25">
      <c r="C2543" s="37"/>
    </row>
    <row r="2544" spans="3:3" x14ac:dyDescent="0.25">
      <c r="C2544" s="37"/>
    </row>
    <row r="2545" spans="3:3" x14ac:dyDescent="0.25">
      <c r="C2545" s="37"/>
    </row>
    <row r="2546" spans="3:3" x14ac:dyDescent="0.25">
      <c r="C2546" s="37"/>
    </row>
    <row r="2547" spans="3:3" x14ac:dyDescent="0.25">
      <c r="C2547" s="37"/>
    </row>
    <row r="2548" spans="3:3" x14ac:dyDescent="0.25">
      <c r="C2548" s="37"/>
    </row>
    <row r="2549" spans="3:3" x14ac:dyDescent="0.25">
      <c r="C2549" s="37"/>
    </row>
    <row r="2550" spans="3:3" x14ac:dyDescent="0.25">
      <c r="C2550" s="37"/>
    </row>
    <row r="2551" spans="3:3" x14ac:dyDescent="0.25">
      <c r="C2551" s="37"/>
    </row>
    <row r="2552" spans="3:3" x14ac:dyDescent="0.25">
      <c r="C2552" s="37"/>
    </row>
    <row r="2553" spans="3:3" x14ac:dyDescent="0.25">
      <c r="C2553" s="37"/>
    </row>
    <row r="2554" spans="3:3" x14ac:dyDescent="0.25">
      <c r="C2554" s="37"/>
    </row>
    <row r="2555" spans="3:3" x14ac:dyDescent="0.25">
      <c r="C2555" s="37"/>
    </row>
    <row r="2556" spans="3:3" x14ac:dyDescent="0.25">
      <c r="C2556" s="37"/>
    </row>
    <row r="2557" spans="3:3" x14ac:dyDescent="0.25">
      <c r="C2557" s="37"/>
    </row>
    <row r="2558" spans="3:3" x14ac:dyDescent="0.25">
      <c r="C2558" s="37"/>
    </row>
    <row r="2559" spans="3:3" x14ac:dyDescent="0.25">
      <c r="C2559" s="37"/>
    </row>
    <row r="2560" spans="3:3" x14ac:dyDescent="0.25">
      <c r="C2560" s="37"/>
    </row>
    <row r="2561" spans="3:3" x14ac:dyDescent="0.25">
      <c r="C2561" s="37"/>
    </row>
    <row r="2562" spans="3:3" x14ac:dyDescent="0.25">
      <c r="C2562" s="37"/>
    </row>
    <row r="2563" spans="3:3" x14ac:dyDescent="0.25">
      <c r="C2563" s="37"/>
    </row>
    <row r="2564" spans="3:3" x14ac:dyDescent="0.25">
      <c r="C2564" s="37"/>
    </row>
    <row r="2565" spans="3:3" x14ac:dyDescent="0.25">
      <c r="C2565" s="37"/>
    </row>
    <row r="2566" spans="3:3" x14ac:dyDescent="0.25">
      <c r="C2566" s="37"/>
    </row>
    <row r="2567" spans="3:3" x14ac:dyDescent="0.25">
      <c r="C2567" s="37"/>
    </row>
    <row r="2568" spans="3:3" x14ac:dyDescent="0.25">
      <c r="C2568" s="37"/>
    </row>
    <row r="2569" spans="3:3" x14ac:dyDescent="0.25">
      <c r="C2569" s="37"/>
    </row>
    <row r="2570" spans="3:3" x14ac:dyDescent="0.25">
      <c r="C2570" s="37"/>
    </row>
    <row r="2571" spans="3:3" x14ac:dyDescent="0.25">
      <c r="C2571" s="37"/>
    </row>
    <row r="2572" spans="3:3" x14ac:dyDescent="0.25">
      <c r="C2572" s="37"/>
    </row>
    <row r="2573" spans="3:3" x14ac:dyDescent="0.25">
      <c r="C2573" s="37"/>
    </row>
    <row r="2574" spans="3:3" x14ac:dyDescent="0.25">
      <c r="C2574" s="37"/>
    </row>
    <row r="2575" spans="3:3" x14ac:dyDescent="0.25">
      <c r="C2575" s="37"/>
    </row>
    <row r="2576" spans="3:3" x14ac:dyDescent="0.25">
      <c r="C2576" s="37"/>
    </row>
    <row r="2577" spans="3:3" x14ac:dyDescent="0.25">
      <c r="C2577" s="37"/>
    </row>
    <row r="2578" spans="3:3" x14ac:dyDescent="0.25">
      <c r="C2578" s="37"/>
    </row>
    <row r="2579" spans="3:3" x14ac:dyDescent="0.25">
      <c r="C2579" s="37"/>
    </row>
    <row r="2580" spans="3:3" x14ac:dyDescent="0.25">
      <c r="C2580" s="37"/>
    </row>
    <row r="2581" spans="3:3" x14ac:dyDescent="0.25">
      <c r="C2581" s="37"/>
    </row>
    <row r="2582" spans="3:3" x14ac:dyDescent="0.25">
      <c r="C2582" s="37"/>
    </row>
    <row r="2583" spans="3:3" x14ac:dyDescent="0.25">
      <c r="C2583" s="37"/>
    </row>
    <row r="2584" spans="3:3" x14ac:dyDescent="0.25">
      <c r="C2584" s="37"/>
    </row>
    <row r="2585" spans="3:3" x14ac:dyDescent="0.25">
      <c r="C2585" s="37"/>
    </row>
    <row r="2586" spans="3:3" x14ac:dyDescent="0.25">
      <c r="C2586" s="37"/>
    </row>
    <row r="2587" spans="3:3" x14ac:dyDescent="0.25">
      <c r="C2587" s="37"/>
    </row>
    <row r="2588" spans="3:3" x14ac:dyDescent="0.25">
      <c r="C2588" s="37"/>
    </row>
    <row r="2589" spans="3:3" x14ac:dyDescent="0.25">
      <c r="C2589" s="37"/>
    </row>
    <row r="2590" spans="3:3" x14ac:dyDescent="0.25">
      <c r="C2590" s="37"/>
    </row>
    <row r="2591" spans="3:3" x14ac:dyDescent="0.25">
      <c r="C2591" s="37"/>
    </row>
    <row r="2592" spans="3:3" x14ac:dyDescent="0.25">
      <c r="C2592" s="37"/>
    </row>
    <row r="2593" spans="3:3" x14ac:dyDescent="0.25">
      <c r="C2593" s="37"/>
    </row>
    <row r="2594" spans="3:3" x14ac:dyDescent="0.25">
      <c r="C2594" s="37"/>
    </row>
    <row r="2595" spans="3:3" x14ac:dyDescent="0.25">
      <c r="C2595" s="37"/>
    </row>
    <row r="2596" spans="3:3" x14ac:dyDescent="0.25">
      <c r="C2596" s="37"/>
    </row>
    <row r="2597" spans="3:3" x14ac:dyDescent="0.25">
      <c r="C2597" s="37"/>
    </row>
    <row r="2598" spans="3:3" x14ac:dyDescent="0.25">
      <c r="C2598" s="37"/>
    </row>
    <row r="2599" spans="3:3" x14ac:dyDescent="0.25">
      <c r="C2599" s="37"/>
    </row>
    <row r="2600" spans="3:3" x14ac:dyDescent="0.25">
      <c r="C2600" s="37"/>
    </row>
    <row r="2601" spans="3:3" x14ac:dyDescent="0.25">
      <c r="C2601" s="37"/>
    </row>
    <row r="2602" spans="3:3" x14ac:dyDescent="0.25">
      <c r="C2602" s="37"/>
    </row>
    <row r="2603" spans="3:3" x14ac:dyDescent="0.25">
      <c r="C2603" s="37"/>
    </row>
    <row r="2604" spans="3:3" x14ac:dyDescent="0.25">
      <c r="C2604" s="37"/>
    </row>
    <row r="2605" spans="3:3" x14ac:dyDescent="0.25">
      <c r="C2605" s="37"/>
    </row>
    <row r="2606" spans="3:3" x14ac:dyDescent="0.25">
      <c r="C2606" s="37"/>
    </row>
    <row r="2607" spans="3:3" x14ac:dyDescent="0.25">
      <c r="C2607" s="37"/>
    </row>
    <row r="2608" spans="3:3" x14ac:dyDescent="0.25">
      <c r="C2608" s="37"/>
    </row>
    <row r="2609" spans="3:3" x14ac:dyDescent="0.25">
      <c r="C2609" s="37"/>
    </row>
    <row r="2610" spans="3:3" x14ac:dyDescent="0.25">
      <c r="C2610" s="37"/>
    </row>
    <row r="2611" spans="3:3" x14ac:dyDescent="0.25">
      <c r="C2611" s="37"/>
    </row>
    <row r="2612" spans="3:3" x14ac:dyDescent="0.25">
      <c r="C2612" s="37"/>
    </row>
    <row r="2613" spans="3:3" x14ac:dyDescent="0.25">
      <c r="C2613" s="37"/>
    </row>
    <row r="2614" spans="3:3" x14ac:dyDescent="0.25">
      <c r="C2614" s="37"/>
    </row>
    <row r="2615" spans="3:3" x14ac:dyDescent="0.25">
      <c r="C2615" s="37"/>
    </row>
    <row r="2616" spans="3:3" x14ac:dyDescent="0.25">
      <c r="C2616" s="37"/>
    </row>
    <row r="2617" spans="3:3" x14ac:dyDescent="0.25">
      <c r="C2617" s="37"/>
    </row>
    <row r="2618" spans="3:3" x14ac:dyDescent="0.25">
      <c r="C2618" s="37"/>
    </row>
    <row r="2619" spans="3:3" x14ac:dyDescent="0.25">
      <c r="C2619" s="37"/>
    </row>
    <row r="2620" spans="3:3" x14ac:dyDescent="0.25">
      <c r="C2620" s="37"/>
    </row>
    <row r="2621" spans="3:3" x14ac:dyDescent="0.25">
      <c r="C2621" s="37"/>
    </row>
    <row r="2622" spans="3:3" x14ac:dyDescent="0.25">
      <c r="C2622" s="37"/>
    </row>
    <row r="2623" spans="3:3" x14ac:dyDescent="0.25">
      <c r="C2623" s="37"/>
    </row>
    <row r="2624" spans="3:3" x14ac:dyDescent="0.25">
      <c r="C2624" s="37"/>
    </row>
    <row r="2625" spans="3:3" x14ac:dyDescent="0.25">
      <c r="C2625" s="37"/>
    </row>
    <row r="2626" spans="3:3" x14ac:dyDescent="0.25">
      <c r="C2626" s="37"/>
    </row>
    <row r="2627" spans="3:3" x14ac:dyDescent="0.25">
      <c r="C2627" s="37"/>
    </row>
    <row r="2628" spans="3:3" x14ac:dyDescent="0.25">
      <c r="C2628" s="37"/>
    </row>
    <row r="2629" spans="3:3" x14ac:dyDescent="0.25">
      <c r="C2629" s="37"/>
    </row>
    <row r="2630" spans="3:3" x14ac:dyDescent="0.25">
      <c r="C2630" s="37"/>
    </row>
    <row r="2631" spans="3:3" x14ac:dyDescent="0.25">
      <c r="C2631" s="37"/>
    </row>
    <row r="2632" spans="3:3" x14ac:dyDescent="0.25">
      <c r="C2632" s="37"/>
    </row>
    <row r="2633" spans="3:3" x14ac:dyDescent="0.25">
      <c r="C2633" s="37"/>
    </row>
    <row r="2634" spans="3:3" x14ac:dyDescent="0.25">
      <c r="C2634" s="37"/>
    </row>
    <row r="2635" spans="3:3" x14ac:dyDescent="0.25">
      <c r="C2635" s="37"/>
    </row>
    <row r="2636" spans="3:3" x14ac:dyDescent="0.25">
      <c r="C2636" s="37"/>
    </row>
    <row r="2637" spans="3:3" x14ac:dyDescent="0.25">
      <c r="C2637" s="37"/>
    </row>
    <row r="2638" spans="3:3" x14ac:dyDescent="0.25">
      <c r="C2638" s="37"/>
    </row>
    <row r="2639" spans="3:3" x14ac:dyDescent="0.25">
      <c r="C2639" s="37"/>
    </row>
    <row r="2640" spans="3:3" x14ac:dyDescent="0.25">
      <c r="C2640" s="37"/>
    </row>
    <row r="2641" spans="3:3" x14ac:dyDescent="0.25">
      <c r="C2641" s="37"/>
    </row>
    <row r="2642" spans="3:3" x14ac:dyDescent="0.25">
      <c r="C2642" s="37"/>
    </row>
    <row r="2643" spans="3:3" x14ac:dyDescent="0.25">
      <c r="C2643" s="37"/>
    </row>
    <row r="2644" spans="3:3" x14ac:dyDescent="0.25">
      <c r="C2644" s="37"/>
    </row>
    <row r="2645" spans="3:3" x14ac:dyDescent="0.25">
      <c r="C2645" s="37"/>
    </row>
    <row r="2646" spans="3:3" x14ac:dyDescent="0.25">
      <c r="C2646" s="37"/>
    </row>
    <row r="2647" spans="3:3" x14ac:dyDescent="0.25">
      <c r="C2647" s="37"/>
    </row>
    <row r="2648" spans="3:3" x14ac:dyDescent="0.25">
      <c r="C2648" s="37"/>
    </row>
    <row r="2649" spans="3:3" x14ac:dyDescent="0.25">
      <c r="C2649" s="37"/>
    </row>
    <row r="2650" spans="3:3" x14ac:dyDescent="0.25">
      <c r="C2650" s="37"/>
    </row>
    <row r="2651" spans="3:3" x14ac:dyDescent="0.25">
      <c r="C2651" s="37"/>
    </row>
    <row r="2652" spans="3:3" x14ac:dyDescent="0.25">
      <c r="C2652" s="37"/>
    </row>
    <row r="2653" spans="3:3" x14ac:dyDescent="0.25">
      <c r="C2653" s="37"/>
    </row>
    <row r="2654" spans="3:3" x14ac:dyDescent="0.25">
      <c r="C2654" s="37"/>
    </row>
    <row r="2655" spans="3:3" x14ac:dyDescent="0.25">
      <c r="C2655" s="37"/>
    </row>
    <row r="2656" spans="3:3" x14ac:dyDescent="0.25">
      <c r="C2656" s="37"/>
    </row>
    <row r="2657" spans="3:3" x14ac:dyDescent="0.25">
      <c r="C2657" s="37"/>
    </row>
    <row r="2658" spans="3:3" x14ac:dyDescent="0.25">
      <c r="C2658" s="37"/>
    </row>
    <row r="2659" spans="3:3" x14ac:dyDescent="0.25">
      <c r="C2659" s="37"/>
    </row>
    <row r="2660" spans="3:3" x14ac:dyDescent="0.25">
      <c r="C2660" s="37"/>
    </row>
    <row r="2661" spans="3:3" x14ac:dyDescent="0.25">
      <c r="C2661" s="37"/>
    </row>
    <row r="2662" spans="3:3" x14ac:dyDescent="0.25">
      <c r="C2662" s="37"/>
    </row>
    <row r="2663" spans="3:3" x14ac:dyDescent="0.25">
      <c r="C2663" s="37"/>
    </row>
    <row r="2664" spans="3:3" x14ac:dyDescent="0.25">
      <c r="C2664" s="37"/>
    </row>
    <row r="2665" spans="3:3" x14ac:dyDescent="0.25">
      <c r="C2665" s="37"/>
    </row>
    <row r="2666" spans="3:3" x14ac:dyDescent="0.25">
      <c r="C2666" s="37"/>
    </row>
    <row r="2667" spans="3:3" x14ac:dyDescent="0.25">
      <c r="C2667" s="37"/>
    </row>
    <row r="2668" spans="3:3" x14ac:dyDescent="0.25">
      <c r="C2668" s="37"/>
    </row>
    <row r="2669" spans="3:3" x14ac:dyDescent="0.25">
      <c r="C2669" s="37"/>
    </row>
    <row r="2670" spans="3:3" x14ac:dyDescent="0.25">
      <c r="C2670" s="37"/>
    </row>
    <row r="2671" spans="3:3" x14ac:dyDescent="0.25">
      <c r="C2671" s="37"/>
    </row>
    <row r="2672" spans="3:3" x14ac:dyDescent="0.25">
      <c r="C2672" s="37"/>
    </row>
    <row r="2673" spans="3:3" x14ac:dyDescent="0.25">
      <c r="C2673" s="37"/>
    </row>
    <row r="2674" spans="3:3" x14ac:dyDescent="0.25">
      <c r="C2674" s="37"/>
    </row>
    <row r="2675" spans="3:3" x14ac:dyDescent="0.25">
      <c r="C2675" s="37"/>
    </row>
    <row r="2676" spans="3:3" x14ac:dyDescent="0.25">
      <c r="C2676" s="37"/>
    </row>
    <row r="2677" spans="3:3" x14ac:dyDescent="0.25">
      <c r="C2677" s="37"/>
    </row>
    <row r="2678" spans="3:3" x14ac:dyDescent="0.25">
      <c r="C2678" s="37"/>
    </row>
    <row r="2679" spans="3:3" x14ac:dyDescent="0.25">
      <c r="C2679" s="37"/>
    </row>
    <row r="2680" spans="3:3" x14ac:dyDescent="0.25">
      <c r="C2680" s="37"/>
    </row>
    <row r="2681" spans="3:3" x14ac:dyDescent="0.25">
      <c r="C2681" s="37"/>
    </row>
    <row r="2682" spans="3:3" x14ac:dyDescent="0.25">
      <c r="C2682" s="37"/>
    </row>
    <row r="2683" spans="3:3" x14ac:dyDescent="0.25">
      <c r="C2683" s="37"/>
    </row>
    <row r="2684" spans="3:3" x14ac:dyDescent="0.25">
      <c r="C2684" s="37"/>
    </row>
    <row r="2685" spans="3:3" x14ac:dyDescent="0.25">
      <c r="C2685" s="37"/>
    </row>
    <row r="2686" spans="3:3" x14ac:dyDescent="0.25">
      <c r="C2686" s="37"/>
    </row>
    <row r="2687" spans="3:3" x14ac:dyDescent="0.25">
      <c r="C2687" s="37"/>
    </row>
    <row r="2688" spans="3:3" x14ac:dyDescent="0.25">
      <c r="C2688" s="37"/>
    </row>
    <row r="2689" spans="3:3" x14ac:dyDescent="0.25">
      <c r="C2689" s="37"/>
    </row>
    <row r="2690" spans="3:3" x14ac:dyDescent="0.25">
      <c r="C2690" s="37"/>
    </row>
    <row r="2691" spans="3:3" x14ac:dyDescent="0.25">
      <c r="C2691" s="37"/>
    </row>
    <row r="2692" spans="3:3" x14ac:dyDescent="0.25">
      <c r="C2692" s="37"/>
    </row>
    <row r="2693" spans="3:3" x14ac:dyDescent="0.25">
      <c r="C2693" s="37"/>
    </row>
    <row r="2694" spans="3:3" x14ac:dyDescent="0.25">
      <c r="C2694" s="37"/>
    </row>
    <row r="2695" spans="3:3" x14ac:dyDescent="0.25">
      <c r="C2695" s="37"/>
    </row>
    <row r="2696" spans="3:3" x14ac:dyDescent="0.25">
      <c r="C2696" s="37"/>
    </row>
    <row r="2697" spans="3:3" x14ac:dyDescent="0.25">
      <c r="C2697" s="37"/>
    </row>
    <row r="2698" spans="3:3" x14ac:dyDescent="0.25">
      <c r="C2698" s="37"/>
    </row>
    <row r="2699" spans="3:3" x14ac:dyDescent="0.25">
      <c r="C2699" s="37"/>
    </row>
    <row r="2700" spans="3:3" x14ac:dyDescent="0.25">
      <c r="C2700" s="37"/>
    </row>
    <row r="2701" spans="3:3" x14ac:dyDescent="0.25">
      <c r="C2701" s="37"/>
    </row>
    <row r="2702" spans="3:3" x14ac:dyDescent="0.25">
      <c r="C2702" s="37"/>
    </row>
    <row r="2703" spans="3:3" x14ac:dyDescent="0.25">
      <c r="C2703" s="37"/>
    </row>
    <row r="2704" spans="3:3" x14ac:dyDescent="0.25">
      <c r="C2704" s="37"/>
    </row>
    <row r="2705" spans="3:3" x14ac:dyDescent="0.25">
      <c r="C2705" s="37"/>
    </row>
    <row r="2706" spans="3:3" x14ac:dyDescent="0.25">
      <c r="C2706" s="37"/>
    </row>
    <row r="2707" spans="3:3" x14ac:dyDescent="0.25">
      <c r="C2707" s="37"/>
    </row>
    <row r="2708" spans="3:3" x14ac:dyDescent="0.25">
      <c r="C2708" s="37"/>
    </row>
    <row r="2709" spans="3:3" x14ac:dyDescent="0.25">
      <c r="C2709" s="37"/>
    </row>
    <row r="2710" spans="3:3" x14ac:dyDescent="0.25">
      <c r="C2710" s="37"/>
    </row>
    <row r="2711" spans="3:3" x14ac:dyDescent="0.25">
      <c r="C2711" s="37"/>
    </row>
    <row r="2712" spans="3:3" x14ac:dyDescent="0.25">
      <c r="C2712" s="37"/>
    </row>
    <row r="2713" spans="3:3" x14ac:dyDescent="0.25">
      <c r="C2713" s="37"/>
    </row>
    <row r="2714" spans="3:3" x14ac:dyDescent="0.25">
      <c r="C2714" s="37"/>
    </row>
    <row r="2715" spans="3:3" x14ac:dyDescent="0.25">
      <c r="C2715" s="37"/>
    </row>
    <row r="2716" spans="3:3" x14ac:dyDescent="0.25">
      <c r="C2716" s="37"/>
    </row>
    <row r="2717" spans="3:3" x14ac:dyDescent="0.25">
      <c r="C2717" s="37"/>
    </row>
    <row r="2718" spans="3:3" x14ac:dyDescent="0.25">
      <c r="C2718" s="37"/>
    </row>
    <row r="2719" spans="3:3" x14ac:dyDescent="0.25">
      <c r="C2719" s="37"/>
    </row>
    <row r="2720" spans="3:3" x14ac:dyDescent="0.25">
      <c r="C2720" s="37"/>
    </row>
    <row r="2721" spans="3:3" x14ac:dyDescent="0.25">
      <c r="C2721" s="37"/>
    </row>
    <row r="2722" spans="3:3" x14ac:dyDescent="0.25">
      <c r="C2722" s="37"/>
    </row>
    <row r="2723" spans="3:3" x14ac:dyDescent="0.25">
      <c r="C2723" s="37"/>
    </row>
    <row r="2724" spans="3:3" x14ac:dyDescent="0.25">
      <c r="C2724" s="37"/>
    </row>
    <row r="2725" spans="3:3" x14ac:dyDescent="0.25">
      <c r="C2725" s="37"/>
    </row>
    <row r="2726" spans="3:3" x14ac:dyDescent="0.25">
      <c r="C2726" s="37"/>
    </row>
    <row r="2727" spans="3:3" x14ac:dyDescent="0.25">
      <c r="C2727" s="37"/>
    </row>
    <row r="2728" spans="3:3" x14ac:dyDescent="0.25">
      <c r="C2728" s="37"/>
    </row>
    <row r="2729" spans="3:3" x14ac:dyDescent="0.25">
      <c r="C2729" s="37"/>
    </row>
    <row r="2730" spans="3:3" x14ac:dyDescent="0.25">
      <c r="C2730" s="37"/>
    </row>
    <row r="2731" spans="3:3" x14ac:dyDescent="0.25">
      <c r="C2731" s="37"/>
    </row>
    <row r="2732" spans="3:3" x14ac:dyDescent="0.25">
      <c r="C2732" s="37"/>
    </row>
    <row r="2733" spans="3:3" x14ac:dyDescent="0.25">
      <c r="C2733" s="37"/>
    </row>
    <row r="2734" spans="3:3" x14ac:dyDescent="0.25">
      <c r="C2734" s="37"/>
    </row>
    <row r="2735" spans="3:3" x14ac:dyDescent="0.25">
      <c r="C2735" s="37"/>
    </row>
    <row r="2736" spans="3:3" x14ac:dyDescent="0.25">
      <c r="C2736" s="37"/>
    </row>
    <row r="2737" spans="3:3" x14ac:dyDescent="0.25">
      <c r="C2737" s="37"/>
    </row>
    <row r="2738" spans="3:3" x14ac:dyDescent="0.25">
      <c r="C2738" s="37"/>
    </row>
    <row r="2739" spans="3:3" x14ac:dyDescent="0.25">
      <c r="C2739" s="37"/>
    </row>
    <row r="2740" spans="3:3" x14ac:dyDescent="0.25">
      <c r="C2740" s="37"/>
    </row>
    <row r="2741" spans="3:3" x14ac:dyDescent="0.25">
      <c r="C2741" s="37"/>
    </row>
    <row r="2742" spans="3:3" x14ac:dyDescent="0.25">
      <c r="C2742" s="37"/>
    </row>
    <row r="2743" spans="3:3" x14ac:dyDescent="0.25">
      <c r="C2743" s="37"/>
    </row>
    <row r="2744" spans="3:3" x14ac:dyDescent="0.25">
      <c r="C2744" s="37"/>
    </row>
    <row r="2745" spans="3:3" x14ac:dyDescent="0.25">
      <c r="C2745" s="37"/>
    </row>
    <row r="2746" spans="3:3" x14ac:dyDescent="0.25">
      <c r="C2746" s="37"/>
    </row>
    <row r="2747" spans="3:3" x14ac:dyDescent="0.25">
      <c r="C2747" s="37"/>
    </row>
    <row r="2748" spans="3:3" x14ac:dyDescent="0.25">
      <c r="C2748" s="37"/>
    </row>
    <row r="2749" spans="3:3" x14ac:dyDescent="0.25">
      <c r="C2749" s="37"/>
    </row>
    <row r="2750" spans="3:3" x14ac:dyDescent="0.25">
      <c r="C2750" s="37"/>
    </row>
    <row r="2751" spans="3:3" x14ac:dyDescent="0.25">
      <c r="C2751" s="37"/>
    </row>
    <row r="2752" spans="3:3" x14ac:dyDescent="0.25">
      <c r="C2752" s="37"/>
    </row>
    <row r="2753" spans="3:3" x14ac:dyDescent="0.25">
      <c r="C2753" s="37"/>
    </row>
    <row r="2754" spans="3:3" x14ac:dyDescent="0.25">
      <c r="C2754" s="37"/>
    </row>
    <row r="2755" spans="3:3" x14ac:dyDescent="0.25">
      <c r="C2755" s="37"/>
    </row>
    <row r="2756" spans="3:3" x14ac:dyDescent="0.25">
      <c r="C2756" s="37"/>
    </row>
    <row r="2757" spans="3:3" x14ac:dyDescent="0.25">
      <c r="C2757" s="37"/>
    </row>
    <row r="2758" spans="3:3" x14ac:dyDescent="0.25">
      <c r="C2758" s="37"/>
    </row>
    <row r="2759" spans="3:3" x14ac:dyDescent="0.25">
      <c r="C2759" s="37"/>
    </row>
    <row r="2760" spans="3:3" x14ac:dyDescent="0.25">
      <c r="C2760" s="37"/>
    </row>
    <row r="2761" spans="3:3" x14ac:dyDescent="0.25">
      <c r="C2761" s="37"/>
    </row>
    <row r="2762" spans="3:3" x14ac:dyDescent="0.25">
      <c r="C2762" s="37"/>
    </row>
    <row r="2763" spans="3:3" x14ac:dyDescent="0.25">
      <c r="C2763" s="37"/>
    </row>
    <row r="2764" spans="3:3" x14ac:dyDescent="0.25">
      <c r="C2764" s="37"/>
    </row>
    <row r="2765" spans="3:3" x14ac:dyDescent="0.25">
      <c r="C2765" s="37"/>
    </row>
    <row r="2766" spans="3:3" x14ac:dyDescent="0.25">
      <c r="C2766" s="37"/>
    </row>
    <row r="2767" spans="3:3" x14ac:dyDescent="0.25">
      <c r="C2767" s="37"/>
    </row>
    <row r="2768" spans="3:3" x14ac:dyDescent="0.25">
      <c r="C2768" s="37"/>
    </row>
    <row r="2769" spans="3:3" x14ac:dyDescent="0.25">
      <c r="C2769" s="37"/>
    </row>
    <row r="2770" spans="3:3" x14ac:dyDescent="0.25">
      <c r="C2770" s="37"/>
    </row>
    <row r="2771" spans="3:3" x14ac:dyDescent="0.25">
      <c r="C2771" s="37"/>
    </row>
    <row r="2772" spans="3:3" x14ac:dyDescent="0.25">
      <c r="C2772" s="37"/>
    </row>
    <row r="2773" spans="3:3" x14ac:dyDescent="0.25">
      <c r="C2773" s="37"/>
    </row>
    <row r="2774" spans="3:3" x14ac:dyDescent="0.25">
      <c r="C2774" s="37"/>
    </row>
    <row r="2775" spans="3:3" x14ac:dyDescent="0.25">
      <c r="C2775" s="37"/>
    </row>
    <row r="2776" spans="3:3" x14ac:dyDescent="0.25">
      <c r="C2776" s="37"/>
    </row>
    <row r="2777" spans="3:3" x14ac:dyDescent="0.25">
      <c r="C2777" s="37"/>
    </row>
    <row r="2778" spans="3:3" x14ac:dyDescent="0.25">
      <c r="C2778" s="37"/>
    </row>
    <row r="2779" spans="3:3" x14ac:dyDescent="0.25">
      <c r="C2779" s="37"/>
    </row>
    <row r="2780" spans="3:3" x14ac:dyDescent="0.25">
      <c r="C2780" s="37"/>
    </row>
    <row r="2781" spans="3:3" x14ac:dyDescent="0.25">
      <c r="C2781" s="37"/>
    </row>
    <row r="2782" spans="3:3" x14ac:dyDescent="0.25">
      <c r="C2782" s="37"/>
    </row>
    <row r="2783" spans="3:3" x14ac:dyDescent="0.25">
      <c r="C2783" s="37"/>
    </row>
    <row r="2784" spans="3:3" x14ac:dyDescent="0.25">
      <c r="C2784" s="37"/>
    </row>
    <row r="2785" spans="3:3" x14ac:dyDescent="0.25">
      <c r="C2785" s="37"/>
    </row>
    <row r="2786" spans="3:3" x14ac:dyDescent="0.25">
      <c r="C2786" s="37"/>
    </row>
    <row r="2787" spans="3:3" x14ac:dyDescent="0.25">
      <c r="C2787" s="37"/>
    </row>
    <row r="2788" spans="3:3" x14ac:dyDescent="0.25">
      <c r="C2788" s="37"/>
    </row>
    <row r="2789" spans="3:3" x14ac:dyDescent="0.25">
      <c r="C2789" s="37"/>
    </row>
    <row r="2790" spans="3:3" x14ac:dyDescent="0.25">
      <c r="C2790" s="37"/>
    </row>
    <row r="2791" spans="3:3" x14ac:dyDescent="0.25">
      <c r="C2791" s="37"/>
    </row>
    <row r="2792" spans="3:3" x14ac:dyDescent="0.25">
      <c r="C2792" s="37"/>
    </row>
    <row r="2793" spans="3:3" x14ac:dyDescent="0.25">
      <c r="C2793" s="37"/>
    </row>
    <row r="2794" spans="3:3" x14ac:dyDescent="0.25">
      <c r="C2794" s="37"/>
    </row>
    <row r="2795" spans="3:3" x14ac:dyDescent="0.25">
      <c r="C2795" s="37"/>
    </row>
    <row r="2796" spans="3:3" x14ac:dyDescent="0.25">
      <c r="C2796" s="37"/>
    </row>
    <row r="2797" spans="3:3" x14ac:dyDescent="0.25">
      <c r="C2797" s="37"/>
    </row>
    <row r="2798" spans="3:3" x14ac:dyDescent="0.25">
      <c r="C2798" s="37"/>
    </row>
    <row r="2799" spans="3:3" x14ac:dyDescent="0.25">
      <c r="C2799" s="37"/>
    </row>
    <row r="2800" spans="3:3" x14ac:dyDescent="0.25">
      <c r="C2800" s="37"/>
    </row>
    <row r="2801" spans="3:3" x14ac:dyDescent="0.25">
      <c r="C2801" s="37"/>
    </row>
    <row r="2802" spans="3:3" x14ac:dyDescent="0.25">
      <c r="C2802" s="37"/>
    </row>
    <row r="2803" spans="3:3" x14ac:dyDescent="0.25">
      <c r="C2803" s="37"/>
    </row>
    <row r="2804" spans="3:3" x14ac:dyDescent="0.25">
      <c r="C2804" s="37"/>
    </row>
    <row r="2805" spans="3:3" x14ac:dyDescent="0.25">
      <c r="C2805" s="37"/>
    </row>
    <row r="2806" spans="3:3" x14ac:dyDescent="0.25">
      <c r="C2806" s="37"/>
    </row>
    <row r="2807" spans="3:3" x14ac:dyDescent="0.25">
      <c r="C2807" s="37"/>
    </row>
    <row r="2808" spans="3:3" x14ac:dyDescent="0.25">
      <c r="C2808" s="37"/>
    </row>
    <row r="2809" spans="3:3" x14ac:dyDescent="0.25">
      <c r="C2809" s="37"/>
    </row>
    <row r="2810" spans="3:3" x14ac:dyDescent="0.25">
      <c r="C2810" s="37"/>
    </row>
    <row r="2811" spans="3:3" x14ac:dyDescent="0.25">
      <c r="C2811" s="37"/>
    </row>
    <row r="2812" spans="3:3" x14ac:dyDescent="0.25">
      <c r="C2812" s="37"/>
    </row>
    <row r="2813" spans="3:3" x14ac:dyDescent="0.25">
      <c r="C2813" s="37"/>
    </row>
    <row r="2814" spans="3:3" x14ac:dyDescent="0.25">
      <c r="C2814" s="37"/>
    </row>
    <row r="2815" spans="3:3" x14ac:dyDescent="0.25">
      <c r="C2815" s="37"/>
    </row>
    <row r="2816" spans="3:3" x14ac:dyDescent="0.25">
      <c r="C2816" s="37"/>
    </row>
    <row r="2817" spans="3:3" x14ac:dyDescent="0.25">
      <c r="C2817" s="37"/>
    </row>
    <row r="2818" spans="3:3" x14ac:dyDescent="0.25">
      <c r="C2818" s="37"/>
    </row>
    <row r="2819" spans="3:3" x14ac:dyDescent="0.25">
      <c r="C2819" s="37"/>
    </row>
    <row r="2820" spans="3:3" x14ac:dyDescent="0.25">
      <c r="C2820" s="37"/>
    </row>
    <row r="2821" spans="3:3" x14ac:dyDescent="0.25">
      <c r="C2821" s="37"/>
    </row>
    <row r="2822" spans="3:3" x14ac:dyDescent="0.25">
      <c r="C2822" s="37"/>
    </row>
    <row r="2823" spans="3:3" x14ac:dyDescent="0.25">
      <c r="C2823" s="37"/>
    </row>
    <row r="2824" spans="3:3" x14ac:dyDescent="0.25">
      <c r="C2824" s="37"/>
    </row>
    <row r="2825" spans="3:3" x14ac:dyDescent="0.25">
      <c r="C2825" s="37"/>
    </row>
    <row r="2826" spans="3:3" x14ac:dyDescent="0.25">
      <c r="C2826" s="37"/>
    </row>
    <row r="2827" spans="3:3" x14ac:dyDescent="0.25">
      <c r="C2827" s="37"/>
    </row>
    <row r="2828" spans="3:3" x14ac:dyDescent="0.25">
      <c r="C2828" s="37"/>
    </row>
    <row r="2829" spans="3:3" x14ac:dyDescent="0.25">
      <c r="C2829" s="37"/>
    </row>
    <row r="2830" spans="3:3" x14ac:dyDescent="0.25">
      <c r="C2830" s="37"/>
    </row>
    <row r="2831" spans="3:3" x14ac:dyDescent="0.25">
      <c r="C2831" s="37"/>
    </row>
    <row r="2832" spans="3:3" x14ac:dyDescent="0.25">
      <c r="C2832" s="37"/>
    </row>
    <row r="2833" spans="3:3" x14ac:dyDescent="0.25">
      <c r="C2833" s="37"/>
    </row>
    <row r="2834" spans="3:3" x14ac:dyDescent="0.25">
      <c r="C2834" s="37"/>
    </row>
    <row r="2835" spans="3:3" x14ac:dyDescent="0.25">
      <c r="C2835" s="37"/>
    </row>
    <row r="2836" spans="3:3" x14ac:dyDescent="0.25">
      <c r="C2836" s="37"/>
    </row>
    <row r="2837" spans="3:3" x14ac:dyDescent="0.25">
      <c r="C2837" s="37"/>
    </row>
    <row r="2838" spans="3:3" x14ac:dyDescent="0.25">
      <c r="C2838" s="37"/>
    </row>
    <row r="2839" spans="3:3" x14ac:dyDescent="0.25">
      <c r="C2839" s="37"/>
    </row>
    <row r="2840" spans="3:3" x14ac:dyDescent="0.25">
      <c r="C2840" s="37"/>
    </row>
    <row r="2841" spans="3:3" x14ac:dyDescent="0.25">
      <c r="C2841" s="37"/>
    </row>
    <row r="2842" spans="3:3" x14ac:dyDescent="0.25">
      <c r="C2842" s="37"/>
    </row>
    <row r="2843" spans="3:3" x14ac:dyDescent="0.25">
      <c r="C2843" s="37"/>
    </row>
    <row r="2844" spans="3:3" x14ac:dyDescent="0.25">
      <c r="C2844" s="37"/>
    </row>
    <row r="2845" spans="3:3" x14ac:dyDescent="0.25">
      <c r="C2845" s="37"/>
    </row>
    <row r="2846" spans="3:3" x14ac:dyDescent="0.25">
      <c r="C2846" s="37"/>
    </row>
    <row r="2847" spans="3:3" x14ac:dyDescent="0.25">
      <c r="C2847" s="37"/>
    </row>
    <row r="2848" spans="3:3" x14ac:dyDescent="0.25">
      <c r="C2848" s="37"/>
    </row>
    <row r="2849" spans="3:3" x14ac:dyDescent="0.25">
      <c r="C2849" s="37"/>
    </row>
    <row r="2850" spans="3:3" x14ac:dyDescent="0.25">
      <c r="C2850" s="37"/>
    </row>
    <row r="2851" spans="3:3" x14ac:dyDescent="0.25">
      <c r="C2851" s="37"/>
    </row>
    <row r="2852" spans="3:3" x14ac:dyDescent="0.25">
      <c r="C2852" s="37"/>
    </row>
    <row r="2853" spans="3:3" x14ac:dyDescent="0.25">
      <c r="C2853" s="37"/>
    </row>
    <row r="2854" spans="3:3" x14ac:dyDescent="0.25">
      <c r="C2854" s="37"/>
    </row>
    <row r="2855" spans="3:3" x14ac:dyDescent="0.25">
      <c r="C2855" s="37"/>
    </row>
    <row r="2856" spans="3:3" x14ac:dyDescent="0.25">
      <c r="C2856" s="37"/>
    </row>
    <row r="2857" spans="3:3" x14ac:dyDescent="0.25">
      <c r="C2857" s="37"/>
    </row>
    <row r="2858" spans="3:3" x14ac:dyDescent="0.25">
      <c r="C2858" s="37"/>
    </row>
    <row r="2859" spans="3:3" x14ac:dyDescent="0.25">
      <c r="C2859" s="37"/>
    </row>
    <row r="2860" spans="3:3" x14ac:dyDescent="0.25">
      <c r="C2860" s="37"/>
    </row>
    <row r="2861" spans="3:3" x14ac:dyDescent="0.25">
      <c r="C2861" s="37"/>
    </row>
    <row r="2862" spans="3:3" x14ac:dyDescent="0.25">
      <c r="C2862" s="37"/>
    </row>
    <row r="2863" spans="3:3" x14ac:dyDescent="0.25">
      <c r="C2863" s="37"/>
    </row>
    <row r="2864" spans="3:3" x14ac:dyDescent="0.25">
      <c r="C2864" s="37"/>
    </row>
    <row r="2865" spans="3:3" x14ac:dyDescent="0.25">
      <c r="C2865" s="37"/>
    </row>
    <row r="2866" spans="3:3" x14ac:dyDescent="0.25">
      <c r="C2866" s="37"/>
    </row>
    <row r="2867" spans="3:3" x14ac:dyDescent="0.25">
      <c r="C2867" s="37"/>
    </row>
    <row r="2868" spans="3:3" x14ac:dyDescent="0.25">
      <c r="C2868" s="37"/>
    </row>
    <row r="2869" spans="3:3" x14ac:dyDescent="0.25">
      <c r="C2869" s="37"/>
    </row>
    <row r="2870" spans="3:3" x14ac:dyDescent="0.25">
      <c r="C2870" s="37"/>
    </row>
    <row r="2871" spans="3:3" x14ac:dyDescent="0.25">
      <c r="C2871" s="37"/>
    </row>
    <row r="2872" spans="3:3" x14ac:dyDescent="0.25">
      <c r="C2872" s="37"/>
    </row>
    <row r="2873" spans="3:3" x14ac:dyDescent="0.25">
      <c r="C2873" s="37"/>
    </row>
    <row r="2874" spans="3:3" x14ac:dyDescent="0.25">
      <c r="C2874" s="37"/>
    </row>
    <row r="2875" spans="3:3" x14ac:dyDescent="0.25">
      <c r="C2875" s="37"/>
    </row>
    <row r="2876" spans="3:3" x14ac:dyDescent="0.25">
      <c r="C2876" s="37"/>
    </row>
    <row r="2877" spans="3:3" x14ac:dyDescent="0.25">
      <c r="C2877" s="37"/>
    </row>
    <row r="2878" spans="3:3" x14ac:dyDescent="0.25">
      <c r="C2878" s="37"/>
    </row>
    <row r="2879" spans="3:3" x14ac:dyDescent="0.25">
      <c r="C2879" s="37"/>
    </row>
    <row r="2880" spans="3:3" x14ac:dyDescent="0.25">
      <c r="C2880" s="37"/>
    </row>
    <row r="2881" spans="3:3" x14ac:dyDescent="0.25">
      <c r="C2881" s="37"/>
    </row>
    <row r="2882" spans="3:3" x14ac:dyDescent="0.25">
      <c r="C2882" s="37"/>
    </row>
    <row r="2883" spans="3:3" x14ac:dyDescent="0.25">
      <c r="C2883" s="37"/>
    </row>
    <row r="2884" spans="3:3" x14ac:dyDescent="0.25">
      <c r="C2884" s="37"/>
    </row>
    <row r="2885" spans="3:3" x14ac:dyDescent="0.25">
      <c r="C2885" s="37"/>
    </row>
    <row r="2886" spans="3:3" x14ac:dyDescent="0.25">
      <c r="C2886" s="37"/>
    </row>
    <row r="2887" spans="3:3" x14ac:dyDescent="0.25">
      <c r="C2887" s="37"/>
    </row>
    <row r="2888" spans="3:3" x14ac:dyDescent="0.25">
      <c r="C2888" s="37"/>
    </row>
    <row r="2889" spans="3:3" x14ac:dyDescent="0.25">
      <c r="C2889" s="37"/>
    </row>
    <row r="2890" spans="3:3" x14ac:dyDescent="0.25">
      <c r="C2890" s="37"/>
    </row>
    <row r="2891" spans="3:3" x14ac:dyDescent="0.25">
      <c r="C2891" s="37"/>
    </row>
    <row r="2892" spans="3:3" x14ac:dyDescent="0.25">
      <c r="C2892" s="37"/>
    </row>
    <row r="2893" spans="3:3" x14ac:dyDescent="0.25">
      <c r="C2893" s="37"/>
    </row>
    <row r="2894" spans="3:3" x14ac:dyDescent="0.25">
      <c r="C2894" s="37"/>
    </row>
    <row r="2895" spans="3:3" x14ac:dyDescent="0.25">
      <c r="C2895" s="37"/>
    </row>
    <row r="2896" spans="3:3" x14ac:dyDescent="0.25">
      <c r="C2896" s="37"/>
    </row>
    <row r="2897" spans="3:3" x14ac:dyDescent="0.25">
      <c r="C2897" s="37"/>
    </row>
    <row r="2898" spans="3:3" x14ac:dyDescent="0.25">
      <c r="C2898" s="37"/>
    </row>
    <row r="2899" spans="3:3" x14ac:dyDescent="0.25">
      <c r="C2899" s="37"/>
    </row>
    <row r="2900" spans="3:3" x14ac:dyDescent="0.25">
      <c r="C2900" s="37"/>
    </row>
    <row r="2901" spans="3:3" x14ac:dyDescent="0.25">
      <c r="C2901" s="37"/>
    </row>
    <row r="2902" spans="3:3" x14ac:dyDescent="0.25">
      <c r="C2902" s="37"/>
    </row>
    <row r="2903" spans="3:3" x14ac:dyDescent="0.25">
      <c r="C2903" s="37"/>
    </row>
    <row r="2904" spans="3:3" x14ac:dyDescent="0.25">
      <c r="C2904" s="37"/>
    </row>
    <row r="2905" spans="3:3" x14ac:dyDescent="0.25">
      <c r="C2905" s="37"/>
    </row>
    <row r="2906" spans="3:3" x14ac:dyDescent="0.25">
      <c r="C2906" s="37"/>
    </row>
    <row r="2907" spans="3:3" x14ac:dyDescent="0.25">
      <c r="C2907" s="37"/>
    </row>
    <row r="2908" spans="3:3" x14ac:dyDescent="0.25">
      <c r="C2908" s="37"/>
    </row>
    <row r="2909" spans="3:3" x14ac:dyDescent="0.25">
      <c r="C2909" s="37"/>
    </row>
    <row r="2910" spans="3:3" x14ac:dyDescent="0.25">
      <c r="C2910" s="37"/>
    </row>
    <row r="2911" spans="3:3" x14ac:dyDescent="0.25">
      <c r="C2911" s="37"/>
    </row>
    <row r="2912" spans="3:3" x14ac:dyDescent="0.25">
      <c r="C2912" s="37"/>
    </row>
    <row r="2913" spans="3:3" x14ac:dyDescent="0.25">
      <c r="C2913" s="37"/>
    </row>
    <row r="2914" spans="3:3" x14ac:dyDescent="0.25">
      <c r="C2914" s="37"/>
    </row>
    <row r="2915" spans="3:3" x14ac:dyDescent="0.25">
      <c r="C2915" s="37"/>
    </row>
    <row r="2916" spans="3:3" x14ac:dyDescent="0.25">
      <c r="C2916" s="37"/>
    </row>
    <row r="2917" spans="3:3" x14ac:dyDescent="0.25">
      <c r="C2917" s="37"/>
    </row>
    <row r="2918" spans="3:3" x14ac:dyDescent="0.25">
      <c r="C2918" s="37"/>
    </row>
    <row r="2919" spans="3:3" x14ac:dyDescent="0.25">
      <c r="C2919" s="37"/>
    </row>
    <row r="2920" spans="3:3" x14ac:dyDescent="0.25">
      <c r="C2920" s="37"/>
    </row>
    <row r="2921" spans="3:3" x14ac:dyDescent="0.25">
      <c r="C2921" s="37"/>
    </row>
    <row r="2922" spans="3:3" x14ac:dyDescent="0.25">
      <c r="C2922" s="37"/>
    </row>
    <row r="2923" spans="3:3" x14ac:dyDescent="0.25">
      <c r="C2923" s="37"/>
    </row>
    <row r="2924" spans="3:3" x14ac:dyDescent="0.25">
      <c r="C2924" s="37"/>
    </row>
    <row r="2925" spans="3:3" x14ac:dyDescent="0.25">
      <c r="C2925" s="37"/>
    </row>
    <row r="2926" spans="3:3" x14ac:dyDescent="0.25">
      <c r="C2926" s="37"/>
    </row>
    <row r="2927" spans="3:3" x14ac:dyDescent="0.25">
      <c r="C2927" s="37"/>
    </row>
    <row r="2928" spans="3:3" x14ac:dyDescent="0.25">
      <c r="C2928" s="37"/>
    </row>
    <row r="2929" spans="3:3" x14ac:dyDescent="0.25">
      <c r="C2929" s="37"/>
    </row>
    <row r="2930" spans="3:3" x14ac:dyDescent="0.25">
      <c r="C2930" s="37"/>
    </row>
    <row r="2931" spans="3:3" x14ac:dyDescent="0.25">
      <c r="C2931" s="37"/>
    </row>
    <row r="2932" spans="3:3" x14ac:dyDescent="0.25">
      <c r="C2932" s="37"/>
    </row>
    <row r="2933" spans="3:3" x14ac:dyDescent="0.25">
      <c r="C2933" s="37"/>
    </row>
    <row r="2934" spans="3:3" x14ac:dyDescent="0.25">
      <c r="C2934" s="37"/>
    </row>
    <row r="2935" spans="3:3" x14ac:dyDescent="0.25">
      <c r="C2935" s="37"/>
    </row>
    <row r="2936" spans="3:3" x14ac:dyDescent="0.25">
      <c r="C2936" s="37"/>
    </row>
    <row r="2937" spans="3:3" x14ac:dyDescent="0.25">
      <c r="C2937" s="37"/>
    </row>
    <row r="2938" spans="3:3" x14ac:dyDescent="0.25">
      <c r="C2938" s="37"/>
    </row>
    <row r="2939" spans="3:3" x14ac:dyDescent="0.25">
      <c r="C2939" s="37"/>
    </row>
    <row r="2940" spans="3:3" x14ac:dyDescent="0.25">
      <c r="C2940" s="37"/>
    </row>
    <row r="2941" spans="3:3" x14ac:dyDescent="0.25">
      <c r="C2941" s="37"/>
    </row>
    <row r="2942" spans="3:3" x14ac:dyDescent="0.25">
      <c r="C2942" s="37"/>
    </row>
    <row r="2943" spans="3:3" x14ac:dyDescent="0.25">
      <c r="C2943" s="37"/>
    </row>
    <row r="2944" spans="3:3" x14ac:dyDescent="0.25">
      <c r="C2944" s="37"/>
    </row>
    <row r="2945" spans="3:3" x14ac:dyDescent="0.25">
      <c r="C2945" s="37"/>
    </row>
    <row r="2946" spans="3:3" x14ac:dyDescent="0.25">
      <c r="C2946" s="37"/>
    </row>
    <row r="2947" spans="3:3" x14ac:dyDescent="0.25">
      <c r="C2947" s="37"/>
    </row>
    <row r="2948" spans="3:3" x14ac:dyDescent="0.25">
      <c r="C2948" s="37"/>
    </row>
    <row r="2949" spans="3:3" x14ac:dyDescent="0.25">
      <c r="C2949" s="37"/>
    </row>
    <row r="2950" spans="3:3" x14ac:dyDescent="0.25">
      <c r="C2950" s="37"/>
    </row>
    <row r="2951" spans="3:3" x14ac:dyDescent="0.25">
      <c r="C2951" s="37"/>
    </row>
    <row r="2952" spans="3:3" x14ac:dyDescent="0.25">
      <c r="C2952" s="37"/>
    </row>
    <row r="2953" spans="3:3" x14ac:dyDescent="0.25">
      <c r="C2953" s="37"/>
    </row>
    <row r="2954" spans="3:3" x14ac:dyDescent="0.25">
      <c r="C2954" s="37"/>
    </row>
    <row r="2955" spans="3:3" x14ac:dyDescent="0.25">
      <c r="C2955" s="37"/>
    </row>
    <row r="2956" spans="3:3" x14ac:dyDescent="0.25">
      <c r="C2956" s="37"/>
    </row>
    <row r="2957" spans="3:3" x14ac:dyDescent="0.25">
      <c r="C2957" s="37"/>
    </row>
    <row r="2958" spans="3:3" x14ac:dyDescent="0.25">
      <c r="C2958" s="37"/>
    </row>
    <row r="2959" spans="3:3" x14ac:dyDescent="0.25">
      <c r="C2959" s="37"/>
    </row>
    <row r="2960" spans="3:3" x14ac:dyDescent="0.25">
      <c r="C2960" s="37"/>
    </row>
    <row r="2961" spans="3:3" x14ac:dyDescent="0.25">
      <c r="C2961" s="37"/>
    </row>
    <row r="2962" spans="3:3" x14ac:dyDescent="0.25">
      <c r="C2962" s="37"/>
    </row>
    <row r="2963" spans="3:3" x14ac:dyDescent="0.25">
      <c r="C2963" s="37"/>
    </row>
    <row r="2964" spans="3:3" x14ac:dyDescent="0.25">
      <c r="C2964" s="37"/>
    </row>
    <row r="2965" spans="3:3" x14ac:dyDescent="0.25">
      <c r="C2965" s="37"/>
    </row>
    <row r="2966" spans="3:3" x14ac:dyDescent="0.25">
      <c r="C2966" s="37"/>
    </row>
    <row r="2967" spans="3:3" x14ac:dyDescent="0.25">
      <c r="C2967" s="37"/>
    </row>
    <row r="2968" spans="3:3" x14ac:dyDescent="0.25">
      <c r="C2968" s="37"/>
    </row>
    <row r="2969" spans="3:3" x14ac:dyDescent="0.25">
      <c r="C2969" s="37"/>
    </row>
    <row r="2970" spans="3:3" x14ac:dyDescent="0.25">
      <c r="C2970" s="37"/>
    </row>
    <row r="2971" spans="3:3" x14ac:dyDescent="0.25">
      <c r="C2971" s="37"/>
    </row>
    <row r="2972" spans="3:3" x14ac:dyDescent="0.25">
      <c r="C2972" s="37"/>
    </row>
    <row r="2973" spans="3:3" x14ac:dyDescent="0.25">
      <c r="C2973" s="37"/>
    </row>
    <row r="2974" spans="3:3" x14ac:dyDescent="0.25">
      <c r="C2974" s="37"/>
    </row>
    <row r="2975" spans="3:3" x14ac:dyDescent="0.25">
      <c r="C2975" s="37"/>
    </row>
    <row r="2976" spans="3:3" x14ac:dyDescent="0.25">
      <c r="C2976" s="37"/>
    </row>
    <row r="2977" spans="3:3" x14ac:dyDescent="0.25">
      <c r="C2977" s="37"/>
    </row>
    <row r="2978" spans="3:3" x14ac:dyDescent="0.25">
      <c r="C2978" s="37"/>
    </row>
    <row r="2979" spans="3:3" x14ac:dyDescent="0.25">
      <c r="C2979" s="37"/>
    </row>
    <row r="2980" spans="3:3" x14ac:dyDescent="0.25">
      <c r="C2980" s="37"/>
    </row>
    <row r="2981" spans="3:3" x14ac:dyDescent="0.25">
      <c r="C2981" s="37"/>
    </row>
    <row r="2982" spans="3:3" x14ac:dyDescent="0.25">
      <c r="C2982" s="37"/>
    </row>
    <row r="2983" spans="3:3" x14ac:dyDescent="0.25">
      <c r="C2983" s="37"/>
    </row>
    <row r="2984" spans="3:3" x14ac:dyDescent="0.25">
      <c r="C2984" s="37"/>
    </row>
    <row r="2985" spans="3:3" x14ac:dyDescent="0.25">
      <c r="C2985" s="37"/>
    </row>
    <row r="2986" spans="3:3" x14ac:dyDescent="0.25">
      <c r="C2986" s="37"/>
    </row>
    <row r="2987" spans="3:3" x14ac:dyDescent="0.25">
      <c r="C2987" s="37"/>
    </row>
    <row r="2988" spans="3:3" x14ac:dyDescent="0.25">
      <c r="C2988" s="37"/>
    </row>
    <row r="2989" spans="3:3" x14ac:dyDescent="0.25">
      <c r="C2989" s="37"/>
    </row>
    <row r="2990" spans="3:3" x14ac:dyDescent="0.25">
      <c r="C2990" s="37"/>
    </row>
    <row r="2991" spans="3:3" x14ac:dyDescent="0.25">
      <c r="C2991" s="37"/>
    </row>
    <row r="2992" spans="3:3" x14ac:dyDescent="0.25">
      <c r="C2992" s="37"/>
    </row>
    <row r="2993" spans="3:3" x14ac:dyDescent="0.25">
      <c r="C2993" s="37"/>
    </row>
    <row r="2994" spans="3:3" x14ac:dyDescent="0.25">
      <c r="C2994" s="37"/>
    </row>
    <row r="2995" spans="3:3" x14ac:dyDescent="0.25">
      <c r="C2995" s="37"/>
    </row>
    <row r="2996" spans="3:3" x14ac:dyDescent="0.25">
      <c r="C2996" s="37"/>
    </row>
    <row r="2997" spans="3:3" x14ac:dyDescent="0.25">
      <c r="C2997" s="37"/>
    </row>
    <row r="2998" spans="3:3" x14ac:dyDescent="0.25">
      <c r="C2998" s="37"/>
    </row>
    <row r="2999" spans="3:3" x14ac:dyDescent="0.25">
      <c r="C2999" s="37"/>
    </row>
    <row r="3000" spans="3:3" x14ac:dyDescent="0.25">
      <c r="C3000" s="37"/>
    </row>
    <row r="3001" spans="3:3" x14ac:dyDescent="0.25">
      <c r="C3001" s="37"/>
    </row>
    <row r="3002" spans="3:3" x14ac:dyDescent="0.25">
      <c r="C3002" s="37"/>
    </row>
    <row r="3003" spans="3:3" x14ac:dyDescent="0.25">
      <c r="C3003" s="37"/>
    </row>
    <row r="3004" spans="3:3" x14ac:dyDescent="0.25">
      <c r="C3004" s="37"/>
    </row>
    <row r="3005" spans="3:3" x14ac:dyDescent="0.25">
      <c r="C3005" s="37"/>
    </row>
    <row r="3006" spans="3:3" x14ac:dyDescent="0.25">
      <c r="C3006" s="37"/>
    </row>
    <row r="3007" spans="3:3" x14ac:dyDescent="0.25">
      <c r="C3007" s="37"/>
    </row>
    <row r="3008" spans="3:3" x14ac:dyDescent="0.25">
      <c r="C3008" s="37"/>
    </row>
    <row r="3009" spans="3:3" x14ac:dyDescent="0.25">
      <c r="C3009" s="37"/>
    </row>
    <row r="3010" spans="3:3" x14ac:dyDescent="0.25">
      <c r="C3010" s="37"/>
    </row>
    <row r="3011" spans="3:3" x14ac:dyDescent="0.25">
      <c r="C3011" s="37"/>
    </row>
    <row r="3012" spans="3:3" x14ac:dyDescent="0.25">
      <c r="C3012" s="37"/>
    </row>
    <row r="3013" spans="3:3" x14ac:dyDescent="0.25">
      <c r="C3013" s="37"/>
    </row>
    <row r="3014" spans="3:3" x14ac:dyDescent="0.25">
      <c r="C3014" s="37"/>
    </row>
    <row r="3015" spans="3:3" x14ac:dyDescent="0.25">
      <c r="C3015" s="37"/>
    </row>
    <row r="3016" spans="3:3" x14ac:dyDescent="0.25">
      <c r="C3016" s="37"/>
    </row>
    <row r="3017" spans="3:3" x14ac:dyDescent="0.25">
      <c r="C3017" s="37"/>
    </row>
    <row r="3018" spans="3:3" x14ac:dyDescent="0.25">
      <c r="C3018" s="37"/>
    </row>
    <row r="3019" spans="3:3" x14ac:dyDescent="0.25">
      <c r="C3019" s="37"/>
    </row>
    <row r="3020" spans="3:3" x14ac:dyDescent="0.25">
      <c r="C3020" s="37"/>
    </row>
    <row r="3021" spans="3:3" x14ac:dyDescent="0.25">
      <c r="C3021" s="37"/>
    </row>
    <row r="3022" spans="3:3" x14ac:dyDescent="0.25">
      <c r="C3022" s="37"/>
    </row>
    <row r="3023" spans="3:3" x14ac:dyDescent="0.25">
      <c r="C3023" s="37"/>
    </row>
    <row r="3024" spans="3:3" x14ac:dyDescent="0.25">
      <c r="C3024" s="37"/>
    </row>
    <row r="3025" spans="3:3" x14ac:dyDescent="0.25">
      <c r="C3025" s="37"/>
    </row>
    <row r="3026" spans="3:3" x14ac:dyDescent="0.25">
      <c r="C3026" s="37"/>
    </row>
    <row r="3027" spans="3:3" x14ac:dyDescent="0.25">
      <c r="C3027" s="37"/>
    </row>
    <row r="3028" spans="3:3" x14ac:dyDescent="0.25">
      <c r="C3028" s="37"/>
    </row>
    <row r="3029" spans="3:3" x14ac:dyDescent="0.25">
      <c r="C3029" s="37"/>
    </row>
    <row r="3030" spans="3:3" x14ac:dyDescent="0.25">
      <c r="C3030" s="37"/>
    </row>
    <row r="3031" spans="3:3" x14ac:dyDescent="0.25">
      <c r="C3031" s="37"/>
    </row>
    <row r="3032" spans="3:3" x14ac:dyDescent="0.25">
      <c r="C3032" s="37"/>
    </row>
    <row r="3033" spans="3:3" x14ac:dyDescent="0.25">
      <c r="C3033" s="37"/>
    </row>
    <row r="3034" spans="3:3" x14ac:dyDescent="0.25">
      <c r="C3034" s="37"/>
    </row>
    <row r="3035" spans="3:3" x14ac:dyDescent="0.25">
      <c r="C3035" s="37"/>
    </row>
    <row r="3036" spans="3:3" x14ac:dyDescent="0.25">
      <c r="C3036" s="37"/>
    </row>
    <row r="3037" spans="3:3" x14ac:dyDescent="0.25">
      <c r="C3037" s="37"/>
    </row>
    <row r="3038" spans="3:3" x14ac:dyDescent="0.25">
      <c r="C3038" s="37"/>
    </row>
    <row r="3039" spans="3:3" x14ac:dyDescent="0.25">
      <c r="C3039" s="37"/>
    </row>
    <row r="3040" spans="3:3" x14ac:dyDescent="0.25">
      <c r="C3040" s="37"/>
    </row>
    <row r="3041" spans="3:3" x14ac:dyDescent="0.25">
      <c r="C3041" s="37"/>
    </row>
    <row r="3042" spans="3:3" x14ac:dyDescent="0.25">
      <c r="C3042" s="37"/>
    </row>
    <row r="3043" spans="3:3" x14ac:dyDescent="0.25">
      <c r="C3043" s="37"/>
    </row>
    <row r="3044" spans="3:3" x14ac:dyDescent="0.25">
      <c r="C3044" s="37"/>
    </row>
    <row r="3045" spans="3:3" x14ac:dyDescent="0.25">
      <c r="C3045" s="37"/>
    </row>
    <row r="3046" spans="3:3" x14ac:dyDescent="0.25">
      <c r="C3046" s="37"/>
    </row>
    <row r="3047" spans="3:3" x14ac:dyDescent="0.25">
      <c r="C3047" s="37"/>
    </row>
    <row r="3048" spans="3:3" x14ac:dyDescent="0.25">
      <c r="C3048" s="37"/>
    </row>
    <row r="3049" spans="3:3" x14ac:dyDescent="0.25">
      <c r="C3049" s="37"/>
    </row>
    <row r="3050" spans="3:3" x14ac:dyDescent="0.25">
      <c r="C3050" s="37"/>
    </row>
    <row r="3051" spans="3:3" x14ac:dyDescent="0.25">
      <c r="C3051" s="37"/>
    </row>
    <row r="3052" spans="3:3" x14ac:dyDescent="0.25">
      <c r="C3052" s="37"/>
    </row>
    <row r="3053" spans="3:3" x14ac:dyDescent="0.25">
      <c r="C3053" s="37"/>
    </row>
    <row r="3054" spans="3:3" x14ac:dyDescent="0.25">
      <c r="C3054" s="37"/>
    </row>
    <row r="3055" spans="3:3" x14ac:dyDescent="0.25">
      <c r="C3055" s="37"/>
    </row>
    <row r="3056" spans="3:3" x14ac:dyDescent="0.25">
      <c r="C3056" s="37"/>
    </row>
    <row r="3057" spans="3:3" x14ac:dyDescent="0.25">
      <c r="C3057" s="37"/>
    </row>
    <row r="3058" spans="3:3" x14ac:dyDescent="0.25">
      <c r="C3058" s="37"/>
    </row>
    <row r="3059" spans="3:3" x14ac:dyDescent="0.25">
      <c r="C3059" s="37"/>
    </row>
    <row r="3060" spans="3:3" x14ac:dyDescent="0.25">
      <c r="C3060" s="37"/>
    </row>
    <row r="3061" spans="3:3" x14ac:dyDescent="0.25">
      <c r="C3061" s="37"/>
    </row>
    <row r="3062" spans="3:3" x14ac:dyDescent="0.25">
      <c r="C3062" s="37"/>
    </row>
    <row r="3063" spans="3:3" x14ac:dyDescent="0.25">
      <c r="C3063" s="37"/>
    </row>
    <row r="3064" spans="3:3" x14ac:dyDescent="0.25">
      <c r="C3064" s="37"/>
    </row>
    <row r="3065" spans="3:3" x14ac:dyDescent="0.25">
      <c r="C3065" s="37"/>
    </row>
    <row r="3066" spans="3:3" x14ac:dyDescent="0.25">
      <c r="C3066" s="37"/>
    </row>
    <row r="3067" spans="3:3" x14ac:dyDescent="0.25">
      <c r="C3067" s="37"/>
    </row>
    <row r="3068" spans="3:3" x14ac:dyDescent="0.25">
      <c r="C3068" s="37"/>
    </row>
    <row r="3069" spans="3:3" x14ac:dyDescent="0.25">
      <c r="C3069" s="37"/>
    </row>
    <row r="3070" spans="3:3" x14ac:dyDescent="0.25">
      <c r="C3070" s="37"/>
    </row>
    <row r="3071" spans="3:3" x14ac:dyDescent="0.25">
      <c r="C3071" s="37"/>
    </row>
    <row r="3072" spans="3:3" x14ac:dyDescent="0.25">
      <c r="C3072" s="37"/>
    </row>
    <row r="3073" spans="3:3" x14ac:dyDescent="0.25">
      <c r="C3073" s="37"/>
    </row>
    <row r="3074" spans="3:3" x14ac:dyDescent="0.25">
      <c r="C3074" s="37"/>
    </row>
    <row r="3075" spans="3:3" x14ac:dyDescent="0.25">
      <c r="C3075" s="37"/>
    </row>
    <row r="3076" spans="3:3" x14ac:dyDescent="0.25">
      <c r="C3076" s="37"/>
    </row>
    <row r="3077" spans="3:3" x14ac:dyDescent="0.25">
      <c r="C3077" s="37"/>
    </row>
    <row r="3078" spans="3:3" x14ac:dyDescent="0.25">
      <c r="C3078" s="37"/>
    </row>
    <row r="3079" spans="3:3" x14ac:dyDescent="0.25">
      <c r="C3079" s="37"/>
    </row>
    <row r="3080" spans="3:3" x14ac:dyDescent="0.25">
      <c r="C3080" s="37"/>
    </row>
    <row r="3081" spans="3:3" x14ac:dyDescent="0.25">
      <c r="C3081" s="37"/>
    </row>
    <row r="3082" spans="3:3" x14ac:dyDescent="0.25">
      <c r="C3082" s="37"/>
    </row>
    <row r="3083" spans="3:3" x14ac:dyDescent="0.25">
      <c r="C3083" s="37"/>
    </row>
    <row r="3084" spans="3:3" x14ac:dyDescent="0.25">
      <c r="C3084" s="37"/>
    </row>
    <row r="3085" spans="3:3" x14ac:dyDescent="0.25">
      <c r="C3085" s="37"/>
    </row>
    <row r="3086" spans="3:3" x14ac:dyDescent="0.25">
      <c r="C3086" s="37"/>
    </row>
    <row r="3087" spans="3:3" x14ac:dyDescent="0.25">
      <c r="C3087" s="37"/>
    </row>
    <row r="3088" spans="3:3" x14ac:dyDescent="0.25">
      <c r="C3088" s="37"/>
    </row>
    <row r="3089" spans="3:3" x14ac:dyDescent="0.25">
      <c r="C3089" s="37"/>
    </row>
    <row r="3090" spans="3:3" x14ac:dyDescent="0.25">
      <c r="C3090" s="37"/>
    </row>
    <row r="3091" spans="3:3" x14ac:dyDescent="0.25">
      <c r="C3091" s="37"/>
    </row>
    <row r="3092" spans="3:3" x14ac:dyDescent="0.25">
      <c r="C3092" s="37"/>
    </row>
    <row r="3093" spans="3:3" x14ac:dyDescent="0.25">
      <c r="C3093" s="37"/>
    </row>
    <row r="3094" spans="3:3" x14ac:dyDescent="0.25">
      <c r="C3094" s="37"/>
    </row>
    <row r="3095" spans="3:3" x14ac:dyDescent="0.25">
      <c r="C3095" s="37"/>
    </row>
    <row r="3096" spans="3:3" x14ac:dyDescent="0.25">
      <c r="C3096" s="37"/>
    </row>
    <row r="3097" spans="3:3" x14ac:dyDescent="0.25">
      <c r="C3097" s="37"/>
    </row>
    <row r="3098" spans="3:3" x14ac:dyDescent="0.25">
      <c r="C3098" s="37"/>
    </row>
    <row r="3099" spans="3:3" x14ac:dyDescent="0.25">
      <c r="C3099" s="37"/>
    </row>
    <row r="3100" spans="3:3" x14ac:dyDescent="0.25">
      <c r="C3100" s="37"/>
    </row>
    <row r="3101" spans="3:3" x14ac:dyDescent="0.25">
      <c r="C3101" s="37"/>
    </row>
    <row r="3102" spans="3:3" x14ac:dyDescent="0.25">
      <c r="C3102" s="37"/>
    </row>
    <row r="3103" spans="3:3" x14ac:dyDescent="0.25">
      <c r="C3103" s="37"/>
    </row>
    <row r="3104" spans="3:3" x14ac:dyDescent="0.25">
      <c r="C3104" s="37"/>
    </row>
    <row r="3105" spans="3:3" x14ac:dyDescent="0.25">
      <c r="C3105" s="37"/>
    </row>
    <row r="3106" spans="3:3" x14ac:dyDescent="0.25">
      <c r="C3106" s="37"/>
    </row>
    <row r="3107" spans="3:3" x14ac:dyDescent="0.25">
      <c r="C3107" s="37"/>
    </row>
    <row r="3108" spans="3:3" x14ac:dyDescent="0.25">
      <c r="C3108" s="37"/>
    </row>
    <row r="3109" spans="3:3" x14ac:dyDescent="0.25">
      <c r="C3109" s="37"/>
    </row>
    <row r="3110" spans="3:3" x14ac:dyDescent="0.25">
      <c r="C3110" s="37"/>
    </row>
    <row r="3111" spans="3:3" x14ac:dyDescent="0.25">
      <c r="C3111" s="37"/>
    </row>
    <row r="3112" spans="3:3" x14ac:dyDescent="0.25">
      <c r="C3112" s="37"/>
    </row>
    <row r="3113" spans="3:3" x14ac:dyDescent="0.25">
      <c r="C3113" s="37"/>
    </row>
    <row r="3114" spans="3:3" x14ac:dyDescent="0.25">
      <c r="C3114" s="37"/>
    </row>
    <row r="3115" spans="3:3" x14ac:dyDescent="0.25">
      <c r="C3115" s="37"/>
    </row>
    <row r="3116" spans="3:3" x14ac:dyDescent="0.25">
      <c r="C3116" s="37"/>
    </row>
    <row r="3117" spans="3:3" x14ac:dyDescent="0.25">
      <c r="C3117" s="37"/>
    </row>
    <row r="3118" spans="3:3" x14ac:dyDescent="0.25">
      <c r="C3118" s="37"/>
    </row>
    <row r="3119" spans="3:3" x14ac:dyDescent="0.25">
      <c r="C3119" s="37"/>
    </row>
    <row r="3120" spans="3:3" x14ac:dyDescent="0.25">
      <c r="C3120" s="37"/>
    </row>
    <row r="3121" spans="3:3" x14ac:dyDescent="0.25">
      <c r="C3121" s="37"/>
    </row>
    <row r="3122" spans="3:3" x14ac:dyDescent="0.25">
      <c r="C3122" s="37"/>
    </row>
    <row r="3123" spans="3:3" x14ac:dyDescent="0.25">
      <c r="C3123" s="37"/>
    </row>
    <row r="3124" spans="3:3" x14ac:dyDescent="0.25">
      <c r="C3124" s="37"/>
    </row>
    <row r="3125" spans="3:3" x14ac:dyDescent="0.25">
      <c r="C3125" s="37"/>
    </row>
    <row r="3126" spans="3:3" x14ac:dyDescent="0.25">
      <c r="C3126" s="37"/>
    </row>
    <row r="3127" spans="3:3" x14ac:dyDescent="0.25">
      <c r="C3127" s="37"/>
    </row>
    <row r="3128" spans="3:3" x14ac:dyDescent="0.25">
      <c r="C3128" s="37"/>
    </row>
    <row r="3129" spans="3:3" x14ac:dyDescent="0.25">
      <c r="C3129" s="37"/>
    </row>
    <row r="3130" spans="3:3" x14ac:dyDescent="0.25">
      <c r="C3130" s="37"/>
    </row>
    <row r="3131" spans="3:3" x14ac:dyDescent="0.25">
      <c r="C3131" s="37"/>
    </row>
    <row r="3132" spans="3:3" x14ac:dyDescent="0.25">
      <c r="C3132" s="37"/>
    </row>
    <row r="3133" spans="3:3" x14ac:dyDescent="0.25">
      <c r="C3133" s="37"/>
    </row>
    <row r="3134" spans="3:3" x14ac:dyDescent="0.25">
      <c r="C3134" s="37"/>
    </row>
    <row r="3135" spans="3:3" x14ac:dyDescent="0.25">
      <c r="C3135" s="37"/>
    </row>
    <row r="3136" spans="3:3" x14ac:dyDescent="0.25">
      <c r="C3136" s="37"/>
    </row>
    <row r="3137" spans="3:3" x14ac:dyDescent="0.25">
      <c r="C3137" s="37"/>
    </row>
    <row r="3138" spans="3:3" x14ac:dyDescent="0.25">
      <c r="C3138" s="37"/>
    </row>
    <row r="3139" spans="3:3" x14ac:dyDescent="0.25">
      <c r="C3139" s="37"/>
    </row>
    <row r="3140" spans="3:3" x14ac:dyDescent="0.25">
      <c r="C3140" s="37"/>
    </row>
    <row r="3141" spans="3:3" x14ac:dyDescent="0.25">
      <c r="C3141" s="37"/>
    </row>
    <row r="3142" spans="3:3" x14ac:dyDescent="0.25">
      <c r="C3142" s="37"/>
    </row>
    <row r="3143" spans="3:3" x14ac:dyDescent="0.25">
      <c r="C3143" s="37"/>
    </row>
    <row r="3144" spans="3:3" x14ac:dyDescent="0.25">
      <c r="C3144" s="37"/>
    </row>
    <row r="3145" spans="3:3" x14ac:dyDescent="0.25">
      <c r="C3145" s="37"/>
    </row>
    <row r="3146" spans="3:3" x14ac:dyDescent="0.25">
      <c r="C3146" s="37"/>
    </row>
    <row r="3147" spans="3:3" x14ac:dyDescent="0.25">
      <c r="C3147" s="37"/>
    </row>
    <row r="3148" spans="3:3" x14ac:dyDescent="0.25">
      <c r="C3148" s="37"/>
    </row>
    <row r="3149" spans="3:3" x14ac:dyDescent="0.25">
      <c r="C3149" s="37"/>
    </row>
    <row r="3150" spans="3:3" x14ac:dyDescent="0.25">
      <c r="C3150" s="37"/>
    </row>
    <row r="3151" spans="3:3" x14ac:dyDescent="0.25">
      <c r="C3151" s="37"/>
    </row>
    <row r="3152" spans="3:3" x14ac:dyDescent="0.25">
      <c r="C3152" s="37"/>
    </row>
    <row r="3153" spans="3:3" x14ac:dyDescent="0.25">
      <c r="C3153" s="37"/>
    </row>
    <row r="3154" spans="3:3" x14ac:dyDescent="0.25">
      <c r="C3154" s="37"/>
    </row>
    <row r="3155" spans="3:3" x14ac:dyDescent="0.25">
      <c r="C3155" s="37"/>
    </row>
    <row r="3156" spans="3:3" x14ac:dyDescent="0.25">
      <c r="C3156" s="37"/>
    </row>
    <row r="3157" spans="3:3" x14ac:dyDescent="0.25">
      <c r="C3157" s="37"/>
    </row>
    <row r="3158" spans="3:3" x14ac:dyDescent="0.25">
      <c r="C3158" s="37"/>
    </row>
    <row r="3159" spans="3:3" x14ac:dyDescent="0.25">
      <c r="C3159" s="37"/>
    </row>
    <row r="3160" spans="3:3" x14ac:dyDescent="0.25">
      <c r="C3160" s="37"/>
    </row>
    <row r="3161" spans="3:3" x14ac:dyDescent="0.25">
      <c r="C3161" s="37"/>
    </row>
    <row r="3162" spans="3:3" x14ac:dyDescent="0.25">
      <c r="C3162" s="37"/>
    </row>
    <row r="3163" spans="3:3" x14ac:dyDescent="0.25">
      <c r="C3163" s="37"/>
    </row>
    <row r="3164" spans="3:3" x14ac:dyDescent="0.25">
      <c r="C3164" s="37"/>
    </row>
    <row r="3165" spans="3:3" x14ac:dyDescent="0.25">
      <c r="C3165" s="37"/>
    </row>
    <row r="3166" spans="3:3" x14ac:dyDescent="0.25">
      <c r="C3166" s="37"/>
    </row>
    <row r="3167" spans="3:3" x14ac:dyDescent="0.25">
      <c r="C3167" s="37"/>
    </row>
    <row r="3168" spans="3:3" x14ac:dyDescent="0.25">
      <c r="C3168" s="37"/>
    </row>
    <row r="3169" spans="3:3" x14ac:dyDescent="0.25">
      <c r="C3169" s="37"/>
    </row>
    <row r="3170" spans="3:3" x14ac:dyDescent="0.25">
      <c r="C3170" s="37"/>
    </row>
    <row r="3171" spans="3:3" x14ac:dyDescent="0.25">
      <c r="C3171" s="37"/>
    </row>
    <row r="3172" spans="3:3" x14ac:dyDescent="0.25">
      <c r="C3172" s="37"/>
    </row>
    <row r="3173" spans="3:3" x14ac:dyDescent="0.25">
      <c r="C3173" s="37"/>
    </row>
    <row r="3174" spans="3:3" x14ac:dyDescent="0.25">
      <c r="C3174" s="37"/>
    </row>
    <row r="3175" spans="3:3" x14ac:dyDescent="0.25">
      <c r="C3175" s="37"/>
    </row>
    <row r="3176" spans="3:3" x14ac:dyDescent="0.25">
      <c r="C3176" s="37"/>
    </row>
    <row r="3177" spans="3:3" x14ac:dyDescent="0.25">
      <c r="C3177" s="37"/>
    </row>
    <row r="3178" spans="3:3" x14ac:dyDescent="0.25">
      <c r="C3178" s="37"/>
    </row>
    <row r="3179" spans="3:3" x14ac:dyDescent="0.25">
      <c r="C3179" s="37"/>
    </row>
    <row r="3180" spans="3:3" x14ac:dyDescent="0.25">
      <c r="C3180" s="37"/>
    </row>
    <row r="3181" spans="3:3" x14ac:dyDescent="0.25">
      <c r="C3181" s="37"/>
    </row>
    <row r="3182" spans="3:3" x14ac:dyDescent="0.25">
      <c r="C3182" s="37"/>
    </row>
    <row r="3183" spans="3:3" x14ac:dyDescent="0.25">
      <c r="C3183" s="37"/>
    </row>
    <row r="3184" spans="3:3" x14ac:dyDescent="0.25">
      <c r="C3184" s="37"/>
    </row>
    <row r="3185" spans="3:3" x14ac:dyDescent="0.25">
      <c r="C3185" s="37"/>
    </row>
    <row r="3186" spans="3:3" x14ac:dyDescent="0.25">
      <c r="C3186" s="37"/>
    </row>
    <row r="3187" spans="3:3" x14ac:dyDescent="0.25">
      <c r="C3187" s="37"/>
    </row>
    <row r="3188" spans="3:3" x14ac:dyDescent="0.25">
      <c r="C3188" s="37"/>
    </row>
    <row r="3189" spans="3:3" x14ac:dyDescent="0.25">
      <c r="C3189" s="37"/>
    </row>
    <row r="3190" spans="3:3" x14ac:dyDescent="0.25">
      <c r="C3190" s="37"/>
    </row>
    <row r="3191" spans="3:3" x14ac:dyDescent="0.25">
      <c r="C3191" s="37"/>
    </row>
    <row r="3192" spans="3:3" x14ac:dyDescent="0.25">
      <c r="C3192" s="37"/>
    </row>
    <row r="3193" spans="3:3" x14ac:dyDescent="0.25">
      <c r="C3193" s="37"/>
    </row>
    <row r="3194" spans="3:3" x14ac:dyDescent="0.25">
      <c r="C3194" s="37"/>
    </row>
    <row r="3195" spans="3:3" x14ac:dyDescent="0.25">
      <c r="C3195" s="37"/>
    </row>
    <row r="3196" spans="3:3" x14ac:dyDescent="0.25">
      <c r="C3196" s="37"/>
    </row>
    <row r="3197" spans="3:3" x14ac:dyDescent="0.25">
      <c r="C3197" s="37"/>
    </row>
    <row r="3198" spans="3:3" x14ac:dyDescent="0.25">
      <c r="C3198" s="37"/>
    </row>
    <row r="3199" spans="3:3" x14ac:dyDescent="0.25">
      <c r="C3199" s="37"/>
    </row>
    <row r="3200" spans="3:3" x14ac:dyDescent="0.25">
      <c r="C3200" s="37"/>
    </row>
    <row r="3201" spans="3:3" x14ac:dyDescent="0.25">
      <c r="C3201" s="37"/>
    </row>
    <row r="3202" spans="3:3" x14ac:dyDescent="0.25">
      <c r="C3202" s="37"/>
    </row>
    <row r="3203" spans="3:3" x14ac:dyDescent="0.25">
      <c r="C3203" s="37"/>
    </row>
    <row r="3204" spans="3:3" x14ac:dyDescent="0.25">
      <c r="C3204" s="37"/>
    </row>
    <row r="3205" spans="3:3" x14ac:dyDescent="0.25">
      <c r="C3205" s="37"/>
    </row>
    <row r="3206" spans="3:3" x14ac:dyDescent="0.25">
      <c r="C3206" s="37"/>
    </row>
    <row r="3207" spans="3:3" x14ac:dyDescent="0.25">
      <c r="C3207" s="37"/>
    </row>
    <row r="3208" spans="3:3" x14ac:dyDescent="0.25">
      <c r="C3208" s="37"/>
    </row>
    <row r="3209" spans="3:3" x14ac:dyDescent="0.25">
      <c r="C3209" s="37"/>
    </row>
    <row r="3210" spans="3:3" x14ac:dyDescent="0.25">
      <c r="C3210" s="37"/>
    </row>
    <row r="3211" spans="3:3" x14ac:dyDescent="0.25">
      <c r="C3211" s="37"/>
    </row>
    <row r="3212" spans="3:3" x14ac:dyDescent="0.25">
      <c r="C3212" s="37"/>
    </row>
    <row r="3213" spans="3:3" x14ac:dyDescent="0.25">
      <c r="C3213" s="37"/>
    </row>
    <row r="3214" spans="3:3" x14ac:dyDescent="0.25">
      <c r="C3214" s="37"/>
    </row>
    <row r="3215" spans="3:3" x14ac:dyDescent="0.25">
      <c r="C3215" s="37"/>
    </row>
    <row r="3216" spans="3:3" x14ac:dyDescent="0.25">
      <c r="C3216" s="37"/>
    </row>
    <row r="3217" spans="3:3" x14ac:dyDescent="0.25">
      <c r="C3217" s="37"/>
    </row>
    <row r="3218" spans="3:3" x14ac:dyDescent="0.25">
      <c r="C3218" s="37"/>
    </row>
    <row r="3219" spans="3:3" x14ac:dyDescent="0.25">
      <c r="C3219" s="37"/>
    </row>
    <row r="3220" spans="3:3" x14ac:dyDescent="0.25">
      <c r="C3220" s="37"/>
    </row>
    <row r="3221" spans="3:3" x14ac:dyDescent="0.25">
      <c r="C3221" s="37"/>
    </row>
    <row r="3222" spans="3:3" x14ac:dyDescent="0.25">
      <c r="C3222" s="37"/>
    </row>
    <row r="3223" spans="3:3" x14ac:dyDescent="0.25">
      <c r="C3223" s="37"/>
    </row>
    <row r="3224" spans="3:3" x14ac:dyDescent="0.25">
      <c r="C3224" s="37"/>
    </row>
    <row r="3225" spans="3:3" x14ac:dyDescent="0.25">
      <c r="C3225" s="37"/>
    </row>
    <row r="3226" spans="3:3" x14ac:dyDescent="0.25">
      <c r="C3226" s="37"/>
    </row>
    <row r="3227" spans="3:3" x14ac:dyDescent="0.25">
      <c r="C3227" s="37"/>
    </row>
    <row r="3228" spans="3:3" x14ac:dyDescent="0.25">
      <c r="C3228" s="37"/>
    </row>
    <row r="3229" spans="3:3" x14ac:dyDescent="0.25">
      <c r="C3229" s="37"/>
    </row>
    <row r="3230" spans="3:3" x14ac:dyDescent="0.25">
      <c r="C3230" s="37"/>
    </row>
    <row r="3231" spans="3:3" x14ac:dyDescent="0.25">
      <c r="C3231" s="37"/>
    </row>
    <row r="3232" spans="3:3" x14ac:dyDescent="0.25">
      <c r="C3232" s="37"/>
    </row>
    <row r="3233" spans="3:3" x14ac:dyDescent="0.25">
      <c r="C3233" s="37"/>
    </row>
    <row r="3234" spans="3:3" x14ac:dyDescent="0.25">
      <c r="C3234" s="37"/>
    </row>
    <row r="3235" spans="3:3" x14ac:dyDescent="0.25">
      <c r="C3235" s="37"/>
    </row>
    <row r="3236" spans="3:3" x14ac:dyDescent="0.25">
      <c r="C3236" s="37"/>
    </row>
    <row r="3237" spans="3:3" x14ac:dyDescent="0.25">
      <c r="C3237" s="37"/>
    </row>
    <row r="3238" spans="3:3" x14ac:dyDescent="0.25">
      <c r="C3238" s="37"/>
    </row>
    <row r="3239" spans="3:3" x14ac:dyDescent="0.25">
      <c r="C3239" s="37"/>
    </row>
    <row r="3240" spans="3:3" x14ac:dyDescent="0.25">
      <c r="C3240" s="37"/>
    </row>
    <row r="3241" spans="3:3" x14ac:dyDescent="0.25">
      <c r="C3241" s="37"/>
    </row>
    <row r="3242" spans="3:3" x14ac:dyDescent="0.25">
      <c r="C3242" s="37"/>
    </row>
    <row r="3243" spans="3:3" x14ac:dyDescent="0.25">
      <c r="C3243" s="37"/>
    </row>
    <row r="3244" spans="3:3" x14ac:dyDescent="0.25">
      <c r="C3244" s="37"/>
    </row>
    <row r="3245" spans="3:3" x14ac:dyDescent="0.25">
      <c r="C3245" s="37"/>
    </row>
    <row r="3246" spans="3:3" x14ac:dyDescent="0.25">
      <c r="C3246" s="37"/>
    </row>
    <row r="3247" spans="3:3" x14ac:dyDescent="0.25">
      <c r="C3247" s="37"/>
    </row>
    <row r="3248" spans="3:3" x14ac:dyDescent="0.25">
      <c r="C3248" s="37"/>
    </row>
    <row r="3249" spans="3:3" x14ac:dyDescent="0.25">
      <c r="C3249" s="37"/>
    </row>
    <row r="3250" spans="3:3" x14ac:dyDescent="0.25">
      <c r="C3250" s="37"/>
    </row>
    <row r="3251" spans="3:3" x14ac:dyDescent="0.25">
      <c r="C3251" s="37"/>
    </row>
    <row r="3252" spans="3:3" x14ac:dyDescent="0.25">
      <c r="C3252" s="37"/>
    </row>
    <row r="3253" spans="3:3" x14ac:dyDescent="0.25">
      <c r="C3253" s="37"/>
    </row>
    <row r="3254" spans="3:3" x14ac:dyDescent="0.25">
      <c r="C3254" s="37"/>
    </row>
    <row r="3255" spans="3:3" x14ac:dyDescent="0.25">
      <c r="C3255" s="37"/>
    </row>
    <row r="3256" spans="3:3" x14ac:dyDescent="0.25">
      <c r="C3256" s="37"/>
    </row>
    <row r="3257" spans="3:3" x14ac:dyDescent="0.25">
      <c r="C3257" s="37"/>
    </row>
    <row r="3258" spans="3:3" x14ac:dyDescent="0.25">
      <c r="C3258" s="37"/>
    </row>
    <row r="3259" spans="3:3" x14ac:dyDescent="0.25">
      <c r="C3259" s="37"/>
    </row>
    <row r="3260" spans="3:3" x14ac:dyDescent="0.25">
      <c r="C3260" s="37"/>
    </row>
    <row r="3261" spans="3:3" x14ac:dyDescent="0.25">
      <c r="C3261" s="37"/>
    </row>
    <row r="3262" spans="3:3" x14ac:dyDescent="0.25">
      <c r="C3262" s="37"/>
    </row>
    <row r="3263" spans="3:3" x14ac:dyDescent="0.25">
      <c r="C3263" s="37"/>
    </row>
    <row r="3264" spans="3:3" x14ac:dyDescent="0.25">
      <c r="C3264" s="37"/>
    </row>
    <row r="3265" spans="3:3" x14ac:dyDescent="0.25">
      <c r="C3265" s="37"/>
    </row>
    <row r="3266" spans="3:3" x14ac:dyDescent="0.25">
      <c r="C3266" s="37"/>
    </row>
    <row r="3267" spans="3:3" x14ac:dyDescent="0.25">
      <c r="C3267" s="37"/>
    </row>
    <row r="3268" spans="3:3" x14ac:dyDescent="0.25">
      <c r="C3268" s="37"/>
    </row>
    <row r="3269" spans="3:3" x14ac:dyDescent="0.25">
      <c r="C3269" s="37"/>
    </row>
    <row r="3270" spans="3:3" x14ac:dyDescent="0.25">
      <c r="C3270" s="37"/>
    </row>
    <row r="3271" spans="3:3" x14ac:dyDescent="0.25">
      <c r="C3271" s="37"/>
    </row>
    <row r="3272" spans="3:3" x14ac:dyDescent="0.25">
      <c r="C3272" s="37"/>
    </row>
    <row r="3273" spans="3:3" x14ac:dyDescent="0.25">
      <c r="C3273" s="37"/>
    </row>
    <row r="3274" spans="3:3" x14ac:dyDescent="0.25">
      <c r="C3274" s="37"/>
    </row>
    <row r="3275" spans="3:3" x14ac:dyDescent="0.25">
      <c r="C3275" s="37"/>
    </row>
    <row r="3276" spans="3:3" x14ac:dyDescent="0.25">
      <c r="C3276" s="37"/>
    </row>
    <row r="3277" spans="3:3" x14ac:dyDescent="0.25">
      <c r="C3277" s="37"/>
    </row>
    <row r="3278" spans="3:3" x14ac:dyDescent="0.25">
      <c r="C3278" s="37"/>
    </row>
    <row r="3279" spans="3:3" x14ac:dyDescent="0.25">
      <c r="C3279" s="37"/>
    </row>
    <row r="3280" spans="3:3" x14ac:dyDescent="0.25">
      <c r="C3280" s="37"/>
    </row>
    <row r="3281" spans="3:3" x14ac:dyDescent="0.25">
      <c r="C3281" s="37"/>
    </row>
    <row r="3282" spans="3:3" x14ac:dyDescent="0.25">
      <c r="C3282" s="37"/>
    </row>
    <row r="3283" spans="3:3" x14ac:dyDescent="0.25">
      <c r="C3283" s="37"/>
    </row>
    <row r="3284" spans="3:3" x14ac:dyDescent="0.25">
      <c r="C3284" s="37"/>
    </row>
    <row r="3285" spans="3:3" x14ac:dyDescent="0.25">
      <c r="C3285" s="37"/>
    </row>
    <row r="3286" spans="3:3" x14ac:dyDescent="0.25">
      <c r="C3286" s="37"/>
    </row>
    <row r="3287" spans="3:3" x14ac:dyDescent="0.25">
      <c r="C3287" s="37"/>
    </row>
    <row r="3288" spans="3:3" x14ac:dyDescent="0.25">
      <c r="C3288" s="37"/>
    </row>
    <row r="3289" spans="3:3" x14ac:dyDescent="0.25">
      <c r="C3289" s="37"/>
    </row>
    <row r="3290" spans="3:3" x14ac:dyDescent="0.25">
      <c r="C3290" s="37"/>
    </row>
    <row r="3291" spans="3:3" x14ac:dyDescent="0.25">
      <c r="C3291" s="37"/>
    </row>
    <row r="3292" spans="3:3" x14ac:dyDescent="0.25">
      <c r="C3292" s="37"/>
    </row>
    <row r="3293" spans="3:3" x14ac:dyDescent="0.25">
      <c r="C3293" s="37"/>
    </row>
    <row r="3294" spans="3:3" x14ac:dyDescent="0.25">
      <c r="C3294" s="37"/>
    </row>
    <row r="3295" spans="3:3" x14ac:dyDescent="0.25">
      <c r="C3295" s="37"/>
    </row>
    <row r="3296" spans="3:3" x14ac:dyDescent="0.25">
      <c r="C3296" s="37"/>
    </row>
    <row r="3297" spans="3:3" x14ac:dyDescent="0.25">
      <c r="C3297" s="37"/>
    </row>
    <row r="3298" spans="3:3" x14ac:dyDescent="0.25">
      <c r="C3298" s="37"/>
    </row>
    <row r="3299" spans="3:3" x14ac:dyDescent="0.25">
      <c r="C3299" s="37"/>
    </row>
    <row r="3300" spans="3:3" x14ac:dyDescent="0.25">
      <c r="C3300" s="37"/>
    </row>
    <row r="3301" spans="3:3" x14ac:dyDescent="0.25">
      <c r="C3301" s="37"/>
    </row>
    <row r="3302" spans="3:3" x14ac:dyDescent="0.25">
      <c r="C3302" s="37"/>
    </row>
    <row r="3303" spans="3:3" x14ac:dyDescent="0.25">
      <c r="C3303" s="37"/>
    </row>
    <row r="3304" spans="3:3" x14ac:dyDescent="0.25">
      <c r="C3304" s="37"/>
    </row>
    <row r="3305" spans="3:3" x14ac:dyDescent="0.25">
      <c r="C3305" s="37"/>
    </row>
    <row r="3306" spans="3:3" x14ac:dyDescent="0.25">
      <c r="C3306" s="37"/>
    </row>
    <row r="3307" spans="3:3" x14ac:dyDescent="0.25">
      <c r="C3307" s="37"/>
    </row>
    <row r="3308" spans="3:3" x14ac:dyDescent="0.25">
      <c r="C3308" s="37"/>
    </row>
    <row r="3309" spans="3:3" x14ac:dyDescent="0.25">
      <c r="C3309" s="37"/>
    </row>
    <row r="3310" spans="3:3" x14ac:dyDescent="0.25">
      <c r="C3310" s="37"/>
    </row>
    <row r="3311" spans="3:3" x14ac:dyDescent="0.25">
      <c r="C3311" s="37"/>
    </row>
    <row r="3312" spans="3:3" x14ac:dyDescent="0.25">
      <c r="C3312" s="37"/>
    </row>
    <row r="3313" spans="3:3" x14ac:dyDescent="0.25">
      <c r="C3313" s="37"/>
    </row>
    <row r="3314" spans="3:3" x14ac:dyDescent="0.25">
      <c r="C3314" s="37"/>
    </row>
    <row r="3315" spans="3:3" x14ac:dyDescent="0.25">
      <c r="C3315" s="37"/>
    </row>
    <row r="3316" spans="3:3" x14ac:dyDescent="0.25">
      <c r="C3316" s="37"/>
    </row>
    <row r="3317" spans="3:3" x14ac:dyDescent="0.25">
      <c r="C3317" s="37"/>
    </row>
    <row r="3318" spans="3:3" x14ac:dyDescent="0.25">
      <c r="C3318" s="37"/>
    </row>
    <row r="3319" spans="3:3" x14ac:dyDescent="0.25">
      <c r="C3319" s="37"/>
    </row>
    <row r="3320" spans="3:3" x14ac:dyDescent="0.25">
      <c r="C3320" s="37"/>
    </row>
    <row r="3321" spans="3:3" x14ac:dyDescent="0.25">
      <c r="C3321" s="37"/>
    </row>
    <row r="3322" spans="3:3" x14ac:dyDescent="0.25">
      <c r="C3322" s="37"/>
    </row>
    <row r="3323" spans="3:3" x14ac:dyDescent="0.25">
      <c r="C3323" s="37"/>
    </row>
    <row r="3324" spans="3:3" x14ac:dyDescent="0.25">
      <c r="C3324" s="37"/>
    </row>
    <row r="3325" spans="3:3" x14ac:dyDescent="0.25">
      <c r="C3325" s="37"/>
    </row>
    <row r="3326" spans="3:3" x14ac:dyDescent="0.25">
      <c r="C3326" s="37"/>
    </row>
    <row r="3327" spans="3:3" x14ac:dyDescent="0.25">
      <c r="C3327" s="37"/>
    </row>
    <row r="3328" spans="3:3" x14ac:dyDescent="0.25">
      <c r="C3328" s="37"/>
    </row>
    <row r="3329" spans="3:3" x14ac:dyDescent="0.25">
      <c r="C3329" s="37"/>
    </row>
    <row r="3330" spans="3:3" x14ac:dyDescent="0.25">
      <c r="C3330" s="37"/>
    </row>
    <row r="3331" spans="3:3" x14ac:dyDescent="0.25">
      <c r="C3331" s="37"/>
    </row>
    <row r="3332" spans="3:3" x14ac:dyDescent="0.25">
      <c r="C3332" s="37"/>
    </row>
    <row r="3333" spans="3:3" x14ac:dyDescent="0.25">
      <c r="C3333" s="37"/>
    </row>
    <row r="3334" spans="3:3" x14ac:dyDescent="0.25">
      <c r="C3334" s="37"/>
    </row>
    <row r="3335" spans="3:3" x14ac:dyDescent="0.25">
      <c r="C3335" s="37"/>
    </row>
    <row r="3336" spans="3:3" x14ac:dyDescent="0.25">
      <c r="C3336" s="37"/>
    </row>
    <row r="3337" spans="3:3" x14ac:dyDescent="0.25">
      <c r="C3337" s="37"/>
    </row>
    <row r="3338" spans="3:3" x14ac:dyDescent="0.25">
      <c r="C3338" s="37"/>
    </row>
    <row r="3339" spans="3:3" x14ac:dyDescent="0.25">
      <c r="C3339" s="37"/>
    </row>
    <row r="3340" spans="3:3" x14ac:dyDescent="0.25">
      <c r="C3340" s="37"/>
    </row>
    <row r="3341" spans="3:3" x14ac:dyDescent="0.25">
      <c r="C3341" s="37"/>
    </row>
    <row r="3342" spans="3:3" x14ac:dyDescent="0.25">
      <c r="C3342" s="37"/>
    </row>
    <row r="3343" spans="3:3" x14ac:dyDescent="0.25">
      <c r="C3343" s="37"/>
    </row>
    <row r="3344" spans="3:3" x14ac:dyDescent="0.25">
      <c r="C3344" s="37"/>
    </row>
    <row r="3345" spans="3:3" x14ac:dyDescent="0.25">
      <c r="C3345" s="37"/>
    </row>
    <row r="3346" spans="3:3" x14ac:dyDescent="0.25">
      <c r="C3346" s="37"/>
    </row>
    <row r="3347" spans="3:3" x14ac:dyDescent="0.25">
      <c r="C3347" s="37"/>
    </row>
    <row r="3348" spans="3:3" x14ac:dyDescent="0.25">
      <c r="C3348" s="37"/>
    </row>
    <row r="3349" spans="3:3" x14ac:dyDescent="0.25">
      <c r="C3349" s="37"/>
    </row>
    <row r="3350" spans="3:3" x14ac:dyDescent="0.25">
      <c r="C3350" s="37"/>
    </row>
    <row r="3351" spans="3:3" x14ac:dyDescent="0.25">
      <c r="C3351" s="37"/>
    </row>
    <row r="3352" spans="3:3" x14ac:dyDescent="0.25">
      <c r="C3352" s="37"/>
    </row>
    <row r="3353" spans="3:3" x14ac:dyDescent="0.25">
      <c r="C3353" s="37"/>
    </row>
    <row r="3354" spans="3:3" x14ac:dyDescent="0.25">
      <c r="C3354" s="37"/>
    </row>
    <row r="3355" spans="3:3" x14ac:dyDescent="0.25">
      <c r="C3355" s="37"/>
    </row>
    <row r="3356" spans="3:3" x14ac:dyDescent="0.25">
      <c r="C3356" s="37"/>
    </row>
    <row r="3357" spans="3:3" x14ac:dyDescent="0.25">
      <c r="C3357" s="37"/>
    </row>
    <row r="3358" spans="3:3" x14ac:dyDescent="0.25">
      <c r="C3358" s="37"/>
    </row>
    <row r="3359" spans="3:3" x14ac:dyDescent="0.25">
      <c r="C3359" s="37"/>
    </row>
    <row r="3360" spans="3:3" x14ac:dyDescent="0.25">
      <c r="C3360" s="37"/>
    </row>
    <row r="3361" spans="3:3" x14ac:dyDescent="0.25">
      <c r="C3361" s="37"/>
    </row>
    <row r="3362" spans="3:3" x14ac:dyDescent="0.25">
      <c r="C3362" s="37"/>
    </row>
    <row r="3363" spans="3:3" x14ac:dyDescent="0.25">
      <c r="C3363" s="37"/>
    </row>
    <row r="3364" spans="3:3" x14ac:dyDescent="0.25">
      <c r="C3364" s="37"/>
    </row>
    <row r="3365" spans="3:3" x14ac:dyDescent="0.25">
      <c r="C3365" s="37"/>
    </row>
    <row r="3366" spans="3:3" x14ac:dyDescent="0.25">
      <c r="C3366" s="37"/>
    </row>
    <row r="3367" spans="3:3" x14ac:dyDescent="0.25">
      <c r="C3367" s="37"/>
    </row>
    <row r="3368" spans="3:3" x14ac:dyDescent="0.25">
      <c r="C3368" s="37"/>
    </row>
    <row r="3369" spans="3:3" x14ac:dyDescent="0.25">
      <c r="C3369" s="37"/>
    </row>
    <row r="3370" spans="3:3" x14ac:dyDescent="0.25">
      <c r="C3370" s="37"/>
    </row>
    <row r="3371" spans="3:3" x14ac:dyDescent="0.25">
      <c r="C3371" s="37"/>
    </row>
    <row r="3372" spans="3:3" x14ac:dyDescent="0.25">
      <c r="C3372" s="37"/>
    </row>
    <row r="3373" spans="3:3" x14ac:dyDescent="0.25">
      <c r="C3373" s="37"/>
    </row>
    <row r="3374" spans="3:3" x14ac:dyDescent="0.25">
      <c r="C3374" s="37"/>
    </row>
    <row r="3375" spans="3:3" x14ac:dyDescent="0.25">
      <c r="C3375" s="37"/>
    </row>
    <row r="3376" spans="3:3" x14ac:dyDescent="0.25">
      <c r="C3376" s="37"/>
    </row>
    <row r="3377" spans="3:3" x14ac:dyDescent="0.25">
      <c r="C3377" s="37"/>
    </row>
    <row r="3378" spans="3:3" x14ac:dyDescent="0.25">
      <c r="C3378" s="37"/>
    </row>
    <row r="3379" spans="3:3" x14ac:dyDescent="0.25">
      <c r="C3379" s="37"/>
    </row>
    <row r="3380" spans="3:3" x14ac:dyDescent="0.25">
      <c r="C3380" s="37"/>
    </row>
    <row r="3381" spans="3:3" x14ac:dyDescent="0.25">
      <c r="C3381" s="37"/>
    </row>
    <row r="3382" spans="3:3" x14ac:dyDescent="0.25">
      <c r="C3382" s="37"/>
    </row>
    <row r="3383" spans="3:3" x14ac:dyDescent="0.25">
      <c r="C3383" s="37"/>
    </row>
    <row r="3384" spans="3:3" x14ac:dyDescent="0.25">
      <c r="C3384" s="37"/>
    </row>
    <row r="3385" spans="3:3" x14ac:dyDescent="0.25">
      <c r="C3385" s="37"/>
    </row>
    <row r="3386" spans="3:3" x14ac:dyDescent="0.25">
      <c r="C3386" s="37"/>
    </row>
    <row r="3387" spans="3:3" x14ac:dyDescent="0.25">
      <c r="C3387" s="37"/>
    </row>
    <row r="3388" spans="3:3" x14ac:dyDescent="0.25">
      <c r="C3388" s="37"/>
    </row>
    <row r="3389" spans="3:3" x14ac:dyDescent="0.25">
      <c r="C3389" s="37"/>
    </row>
    <row r="3390" spans="3:3" x14ac:dyDescent="0.25">
      <c r="C3390" s="37"/>
    </row>
    <row r="3391" spans="3:3" x14ac:dyDescent="0.25">
      <c r="C3391" s="37"/>
    </row>
    <row r="3392" spans="3:3" x14ac:dyDescent="0.25">
      <c r="C3392" s="37"/>
    </row>
    <row r="3393" spans="3:3" x14ac:dyDescent="0.25">
      <c r="C3393" s="37"/>
    </row>
    <row r="3394" spans="3:3" x14ac:dyDescent="0.25">
      <c r="C3394" s="37"/>
    </row>
    <row r="3395" spans="3:3" x14ac:dyDescent="0.25">
      <c r="C3395" s="37"/>
    </row>
    <row r="3396" spans="3:3" x14ac:dyDescent="0.25">
      <c r="C3396" s="37"/>
    </row>
    <row r="3397" spans="3:3" x14ac:dyDescent="0.25">
      <c r="C3397" s="37"/>
    </row>
    <row r="3398" spans="3:3" x14ac:dyDescent="0.25">
      <c r="C3398" s="37"/>
    </row>
    <row r="3399" spans="3:3" x14ac:dyDescent="0.25">
      <c r="C3399" s="37"/>
    </row>
    <row r="3400" spans="3:3" x14ac:dyDescent="0.25">
      <c r="C3400" s="37"/>
    </row>
    <row r="3401" spans="3:3" x14ac:dyDescent="0.25">
      <c r="C3401" s="37"/>
    </row>
    <row r="3402" spans="3:3" x14ac:dyDescent="0.25">
      <c r="C3402" s="37"/>
    </row>
    <row r="3403" spans="3:3" x14ac:dyDescent="0.25">
      <c r="C3403" s="37"/>
    </row>
    <row r="3404" spans="3:3" x14ac:dyDescent="0.25">
      <c r="C3404" s="37"/>
    </row>
    <row r="3405" spans="3:3" x14ac:dyDescent="0.25">
      <c r="C3405" s="37"/>
    </row>
    <row r="3406" spans="3:3" x14ac:dyDescent="0.25">
      <c r="C3406" s="37"/>
    </row>
    <row r="3407" spans="3:3" x14ac:dyDescent="0.25">
      <c r="C3407" s="37"/>
    </row>
    <row r="3408" spans="3:3" x14ac:dyDescent="0.25">
      <c r="C3408" s="37"/>
    </row>
    <row r="3409" spans="3:3" x14ac:dyDescent="0.25">
      <c r="C3409" s="37"/>
    </row>
    <row r="3410" spans="3:3" x14ac:dyDescent="0.25">
      <c r="C3410" s="37"/>
    </row>
    <row r="3411" spans="3:3" x14ac:dyDescent="0.25">
      <c r="C3411" s="37"/>
    </row>
    <row r="3412" spans="3:3" x14ac:dyDescent="0.25">
      <c r="C3412" s="37"/>
    </row>
    <row r="3413" spans="3:3" x14ac:dyDescent="0.25">
      <c r="C3413" s="37"/>
    </row>
    <row r="3414" spans="3:3" x14ac:dyDescent="0.25">
      <c r="C3414" s="37"/>
    </row>
    <row r="3415" spans="3:3" x14ac:dyDescent="0.25">
      <c r="C3415" s="37"/>
    </row>
    <row r="3416" spans="3:3" x14ac:dyDescent="0.25">
      <c r="C3416" s="37"/>
    </row>
    <row r="3417" spans="3:3" x14ac:dyDescent="0.25">
      <c r="C3417" s="37"/>
    </row>
    <row r="3418" spans="3:3" x14ac:dyDescent="0.25">
      <c r="C3418" s="37"/>
    </row>
    <row r="3419" spans="3:3" x14ac:dyDescent="0.25">
      <c r="C3419" s="37"/>
    </row>
    <row r="3420" spans="3:3" x14ac:dyDescent="0.25">
      <c r="C3420" s="37"/>
    </row>
    <row r="3421" spans="3:3" x14ac:dyDescent="0.25">
      <c r="C3421" s="37"/>
    </row>
    <row r="3422" spans="3:3" x14ac:dyDescent="0.25">
      <c r="C3422" s="37"/>
    </row>
    <row r="3423" spans="3:3" x14ac:dyDescent="0.25">
      <c r="C3423" s="37"/>
    </row>
    <row r="3424" spans="3:3" x14ac:dyDescent="0.25">
      <c r="C3424" s="37"/>
    </row>
    <row r="3425" spans="3:3" x14ac:dyDescent="0.25">
      <c r="C3425" s="37"/>
    </row>
    <row r="3426" spans="3:3" x14ac:dyDescent="0.25">
      <c r="C3426" s="37"/>
    </row>
    <row r="3427" spans="3:3" x14ac:dyDescent="0.25">
      <c r="C3427" s="37"/>
    </row>
    <row r="3428" spans="3:3" x14ac:dyDescent="0.25">
      <c r="C3428" s="37"/>
    </row>
    <row r="3429" spans="3:3" x14ac:dyDescent="0.25">
      <c r="C3429" s="37"/>
    </row>
    <row r="3430" spans="3:3" x14ac:dyDescent="0.25">
      <c r="C3430" s="37"/>
    </row>
    <row r="3431" spans="3:3" x14ac:dyDescent="0.25">
      <c r="C3431" s="37"/>
    </row>
    <row r="3432" spans="3:3" x14ac:dyDescent="0.25">
      <c r="C3432" s="37"/>
    </row>
    <row r="3433" spans="3:3" x14ac:dyDescent="0.25">
      <c r="C3433" s="37"/>
    </row>
    <row r="3434" spans="3:3" x14ac:dyDescent="0.25">
      <c r="C3434" s="37"/>
    </row>
    <row r="3435" spans="3:3" x14ac:dyDescent="0.25">
      <c r="C3435" s="37"/>
    </row>
    <row r="3436" spans="3:3" x14ac:dyDescent="0.25">
      <c r="C3436" s="37"/>
    </row>
    <row r="3437" spans="3:3" x14ac:dyDescent="0.25">
      <c r="C3437" s="37"/>
    </row>
    <row r="3438" spans="3:3" x14ac:dyDescent="0.25">
      <c r="C3438" s="37"/>
    </row>
    <row r="3439" spans="3:3" x14ac:dyDescent="0.25">
      <c r="C3439" s="37"/>
    </row>
    <row r="3440" spans="3:3" x14ac:dyDescent="0.25">
      <c r="C3440" s="37"/>
    </row>
    <row r="3441" spans="3:3" x14ac:dyDescent="0.25">
      <c r="C3441" s="37"/>
    </row>
    <row r="3442" spans="3:3" x14ac:dyDescent="0.25">
      <c r="C3442" s="37"/>
    </row>
    <row r="3443" spans="3:3" x14ac:dyDescent="0.25">
      <c r="C3443" s="37"/>
    </row>
    <row r="3444" spans="3:3" x14ac:dyDescent="0.25">
      <c r="C3444" s="37"/>
    </row>
    <row r="3445" spans="3:3" x14ac:dyDescent="0.25">
      <c r="C3445" s="37"/>
    </row>
    <row r="3446" spans="3:3" x14ac:dyDescent="0.25">
      <c r="C3446" s="37"/>
    </row>
    <row r="3447" spans="3:3" x14ac:dyDescent="0.25">
      <c r="C3447" s="37"/>
    </row>
    <row r="3448" spans="3:3" x14ac:dyDescent="0.25">
      <c r="C3448" s="37"/>
    </row>
    <row r="3449" spans="3:3" x14ac:dyDescent="0.25">
      <c r="C3449" s="37"/>
    </row>
    <row r="3450" spans="3:3" x14ac:dyDescent="0.25">
      <c r="C3450" s="37"/>
    </row>
    <row r="3451" spans="3:3" x14ac:dyDescent="0.25">
      <c r="C3451" s="37"/>
    </row>
    <row r="3452" spans="3:3" x14ac:dyDescent="0.25">
      <c r="C3452" s="37"/>
    </row>
    <row r="3453" spans="3:3" x14ac:dyDescent="0.25">
      <c r="C3453" s="37"/>
    </row>
    <row r="3454" spans="3:3" x14ac:dyDescent="0.25">
      <c r="C3454" s="37"/>
    </row>
    <row r="3455" spans="3:3" x14ac:dyDescent="0.25">
      <c r="C3455" s="37"/>
    </row>
    <row r="3456" spans="3:3" x14ac:dyDescent="0.25">
      <c r="C3456" s="37"/>
    </row>
    <row r="3457" spans="3:3" x14ac:dyDescent="0.25">
      <c r="C3457" s="37"/>
    </row>
    <row r="3458" spans="3:3" x14ac:dyDescent="0.25">
      <c r="C3458" s="37"/>
    </row>
    <row r="3459" spans="3:3" x14ac:dyDescent="0.25">
      <c r="C3459" s="37"/>
    </row>
    <row r="3460" spans="3:3" x14ac:dyDescent="0.25">
      <c r="C3460" s="37"/>
    </row>
    <row r="3461" spans="3:3" x14ac:dyDescent="0.25">
      <c r="C3461" s="37"/>
    </row>
    <row r="3462" spans="3:3" x14ac:dyDescent="0.25">
      <c r="C3462" s="37"/>
    </row>
    <row r="3463" spans="3:3" x14ac:dyDescent="0.25">
      <c r="C3463" s="37"/>
    </row>
    <row r="3464" spans="3:3" x14ac:dyDescent="0.25">
      <c r="C3464" s="37"/>
    </row>
    <row r="3465" spans="3:3" x14ac:dyDescent="0.25">
      <c r="C3465" s="37"/>
    </row>
    <row r="3466" spans="3:3" x14ac:dyDescent="0.25">
      <c r="C3466" s="37"/>
    </row>
    <row r="3467" spans="3:3" x14ac:dyDescent="0.25">
      <c r="C3467" s="37"/>
    </row>
    <row r="3468" spans="3:3" x14ac:dyDescent="0.25">
      <c r="C3468" s="37"/>
    </row>
    <row r="3469" spans="3:3" x14ac:dyDescent="0.25">
      <c r="C3469" s="37"/>
    </row>
    <row r="3470" spans="3:3" x14ac:dyDescent="0.25">
      <c r="C3470" s="37"/>
    </row>
    <row r="3471" spans="3:3" x14ac:dyDescent="0.25">
      <c r="C3471" s="37"/>
    </row>
    <row r="3472" spans="3:3" x14ac:dyDescent="0.25">
      <c r="C3472" s="37"/>
    </row>
    <row r="3473" spans="3:3" x14ac:dyDescent="0.25">
      <c r="C3473" s="37"/>
    </row>
    <row r="3474" spans="3:3" x14ac:dyDescent="0.25">
      <c r="C3474" s="37"/>
    </row>
    <row r="3475" spans="3:3" x14ac:dyDescent="0.25">
      <c r="C3475" s="37"/>
    </row>
    <row r="3476" spans="3:3" x14ac:dyDescent="0.25">
      <c r="C3476" s="37"/>
    </row>
    <row r="3477" spans="3:3" x14ac:dyDescent="0.25">
      <c r="C3477" s="37"/>
    </row>
    <row r="3478" spans="3:3" x14ac:dyDescent="0.25">
      <c r="C3478" s="37"/>
    </row>
    <row r="3479" spans="3:3" x14ac:dyDescent="0.25">
      <c r="C3479" s="37"/>
    </row>
    <row r="3480" spans="3:3" x14ac:dyDescent="0.25">
      <c r="C3480" s="37"/>
    </row>
    <row r="3481" spans="3:3" x14ac:dyDescent="0.25">
      <c r="C3481" s="37"/>
    </row>
    <row r="3482" spans="3:3" x14ac:dyDescent="0.25">
      <c r="C3482" s="37"/>
    </row>
    <row r="3483" spans="3:3" x14ac:dyDescent="0.25">
      <c r="C3483" s="37"/>
    </row>
    <row r="3484" spans="3:3" x14ac:dyDescent="0.25">
      <c r="C3484" s="37"/>
    </row>
    <row r="3485" spans="3:3" x14ac:dyDescent="0.25">
      <c r="C3485" s="37"/>
    </row>
    <row r="3486" spans="3:3" x14ac:dyDescent="0.25">
      <c r="C3486" s="37"/>
    </row>
    <row r="3487" spans="3:3" x14ac:dyDescent="0.25">
      <c r="C3487" s="37"/>
    </row>
    <row r="3488" spans="3:3" x14ac:dyDescent="0.25">
      <c r="C3488" s="37"/>
    </row>
    <row r="3489" spans="3:3" x14ac:dyDescent="0.25">
      <c r="C3489" s="37"/>
    </row>
    <row r="3490" spans="3:3" x14ac:dyDescent="0.25">
      <c r="C3490" s="37"/>
    </row>
    <row r="3491" spans="3:3" x14ac:dyDescent="0.25">
      <c r="C3491" s="37"/>
    </row>
    <row r="3492" spans="3:3" x14ac:dyDescent="0.25">
      <c r="C3492" s="37"/>
    </row>
    <row r="3493" spans="3:3" x14ac:dyDescent="0.25">
      <c r="C3493" s="37"/>
    </row>
    <row r="3494" spans="3:3" x14ac:dyDescent="0.25">
      <c r="C3494" s="37"/>
    </row>
    <row r="3495" spans="3:3" x14ac:dyDescent="0.25">
      <c r="C3495" s="37"/>
    </row>
    <row r="3496" spans="3:3" x14ac:dyDescent="0.25">
      <c r="C3496" s="37"/>
    </row>
    <row r="3497" spans="3:3" x14ac:dyDescent="0.25">
      <c r="C3497" s="37"/>
    </row>
    <row r="3498" spans="3:3" x14ac:dyDescent="0.25">
      <c r="C3498" s="37"/>
    </row>
    <row r="3499" spans="3:3" x14ac:dyDescent="0.25">
      <c r="C3499" s="37"/>
    </row>
    <row r="3500" spans="3:3" x14ac:dyDescent="0.25">
      <c r="C3500" s="37"/>
    </row>
    <row r="3501" spans="3:3" x14ac:dyDescent="0.25">
      <c r="C3501" s="37"/>
    </row>
    <row r="3502" spans="3:3" x14ac:dyDescent="0.25">
      <c r="C3502" s="37"/>
    </row>
    <row r="3503" spans="3:3" x14ac:dyDescent="0.25">
      <c r="C3503" s="37"/>
    </row>
    <row r="3504" spans="3:3" x14ac:dyDescent="0.25">
      <c r="C3504" s="37"/>
    </row>
    <row r="3505" spans="3:3" x14ac:dyDescent="0.25">
      <c r="C3505" s="37"/>
    </row>
    <row r="3506" spans="3:3" x14ac:dyDescent="0.25">
      <c r="C3506" s="37"/>
    </row>
    <row r="3507" spans="3:3" x14ac:dyDescent="0.25">
      <c r="C3507" s="37"/>
    </row>
    <row r="3508" spans="3:3" x14ac:dyDescent="0.25">
      <c r="C3508" s="37"/>
    </row>
    <row r="3509" spans="3:3" x14ac:dyDescent="0.25">
      <c r="C3509" s="37"/>
    </row>
    <row r="3510" spans="3:3" x14ac:dyDescent="0.25">
      <c r="C3510" s="37"/>
    </row>
    <row r="3511" spans="3:3" x14ac:dyDescent="0.25">
      <c r="C3511" s="37"/>
    </row>
    <row r="3512" spans="3:3" x14ac:dyDescent="0.25">
      <c r="C3512" s="37"/>
    </row>
    <row r="3513" spans="3:3" x14ac:dyDescent="0.25">
      <c r="C3513" s="37"/>
    </row>
    <row r="3514" spans="3:3" x14ac:dyDescent="0.25">
      <c r="C3514" s="37"/>
    </row>
    <row r="3515" spans="3:3" x14ac:dyDescent="0.25">
      <c r="C3515" s="37"/>
    </row>
    <row r="3516" spans="3:3" x14ac:dyDescent="0.25">
      <c r="C3516" s="37"/>
    </row>
    <row r="3517" spans="3:3" x14ac:dyDescent="0.25">
      <c r="C3517" s="37"/>
    </row>
    <row r="3518" spans="3:3" x14ac:dyDescent="0.25">
      <c r="C3518" s="37"/>
    </row>
    <row r="3519" spans="3:3" x14ac:dyDescent="0.25">
      <c r="C3519" s="37"/>
    </row>
    <row r="3520" spans="3:3" x14ac:dyDescent="0.25">
      <c r="C3520" s="37"/>
    </row>
    <row r="3521" spans="3:3" x14ac:dyDescent="0.25">
      <c r="C3521" s="37"/>
    </row>
    <row r="3522" spans="3:3" x14ac:dyDescent="0.25">
      <c r="C3522" s="37"/>
    </row>
    <row r="3523" spans="3:3" x14ac:dyDescent="0.25">
      <c r="C3523" s="37"/>
    </row>
    <row r="3524" spans="3:3" x14ac:dyDescent="0.25">
      <c r="C3524" s="37"/>
    </row>
    <row r="3525" spans="3:3" x14ac:dyDescent="0.25">
      <c r="C3525" s="37"/>
    </row>
    <row r="3526" spans="3:3" x14ac:dyDescent="0.25">
      <c r="C3526" s="37"/>
    </row>
    <row r="3527" spans="3:3" x14ac:dyDescent="0.25">
      <c r="C3527" s="37"/>
    </row>
    <row r="3528" spans="3:3" x14ac:dyDescent="0.25">
      <c r="C3528" s="37"/>
    </row>
    <row r="3529" spans="3:3" x14ac:dyDescent="0.25">
      <c r="C3529" s="37"/>
    </row>
    <row r="3530" spans="3:3" x14ac:dyDescent="0.25">
      <c r="C3530" s="37"/>
    </row>
    <row r="3531" spans="3:3" x14ac:dyDescent="0.25">
      <c r="C3531" s="37"/>
    </row>
    <row r="3532" spans="3:3" x14ac:dyDescent="0.25">
      <c r="C3532" s="37"/>
    </row>
    <row r="3533" spans="3:3" x14ac:dyDescent="0.25">
      <c r="C3533" s="37"/>
    </row>
    <row r="3534" spans="3:3" x14ac:dyDescent="0.25">
      <c r="C3534" s="37"/>
    </row>
    <row r="3535" spans="3:3" x14ac:dyDescent="0.25">
      <c r="C3535" s="37"/>
    </row>
    <row r="3536" spans="3:3" x14ac:dyDescent="0.25">
      <c r="C3536" s="37"/>
    </row>
    <row r="3537" spans="3:3" x14ac:dyDescent="0.25">
      <c r="C3537" s="37"/>
    </row>
    <row r="3538" spans="3:3" x14ac:dyDescent="0.25">
      <c r="C3538" s="37"/>
    </row>
    <row r="3539" spans="3:3" x14ac:dyDescent="0.25">
      <c r="C3539" s="37"/>
    </row>
    <row r="3540" spans="3:3" x14ac:dyDescent="0.25">
      <c r="C3540" s="37"/>
    </row>
    <row r="3541" spans="3:3" x14ac:dyDescent="0.25">
      <c r="C3541" s="37"/>
    </row>
    <row r="3542" spans="3:3" x14ac:dyDescent="0.25">
      <c r="C3542" s="37"/>
    </row>
    <row r="3543" spans="3:3" x14ac:dyDescent="0.25">
      <c r="C3543" s="37"/>
    </row>
    <row r="3544" spans="3:3" x14ac:dyDescent="0.25">
      <c r="C3544" s="37"/>
    </row>
    <row r="3545" spans="3:3" x14ac:dyDescent="0.25">
      <c r="C3545" s="37"/>
    </row>
    <row r="3546" spans="3:3" x14ac:dyDescent="0.25">
      <c r="C3546" s="37"/>
    </row>
    <row r="3547" spans="3:3" x14ac:dyDescent="0.25">
      <c r="C3547" s="37"/>
    </row>
    <row r="3548" spans="3:3" x14ac:dyDescent="0.25">
      <c r="C3548" s="37"/>
    </row>
    <row r="3549" spans="3:3" x14ac:dyDescent="0.25">
      <c r="C3549" s="37"/>
    </row>
    <row r="3550" spans="3:3" x14ac:dyDescent="0.25">
      <c r="C3550" s="37"/>
    </row>
    <row r="3551" spans="3:3" x14ac:dyDescent="0.25">
      <c r="C3551" s="37"/>
    </row>
    <row r="3552" spans="3:3" x14ac:dyDescent="0.25">
      <c r="C3552" s="37"/>
    </row>
    <row r="3553" spans="3:3" x14ac:dyDescent="0.25">
      <c r="C3553" s="37"/>
    </row>
    <row r="3554" spans="3:3" x14ac:dyDescent="0.25">
      <c r="C3554" s="37"/>
    </row>
    <row r="3555" spans="3:3" x14ac:dyDescent="0.25">
      <c r="C3555" s="37"/>
    </row>
    <row r="3556" spans="3:3" x14ac:dyDescent="0.25">
      <c r="C3556" s="37"/>
    </row>
    <row r="3557" spans="3:3" x14ac:dyDescent="0.25">
      <c r="C3557" s="37"/>
    </row>
    <row r="3558" spans="3:3" x14ac:dyDescent="0.25">
      <c r="C3558" s="37"/>
    </row>
    <row r="3559" spans="3:3" x14ac:dyDescent="0.25">
      <c r="C3559" s="37"/>
    </row>
    <row r="3560" spans="3:3" x14ac:dyDescent="0.25">
      <c r="C3560" s="37"/>
    </row>
    <row r="3561" spans="3:3" x14ac:dyDescent="0.25">
      <c r="C3561" s="37"/>
    </row>
    <row r="3562" spans="3:3" x14ac:dyDescent="0.25">
      <c r="C3562" s="37"/>
    </row>
    <row r="3563" spans="3:3" x14ac:dyDescent="0.25">
      <c r="C3563" s="37"/>
    </row>
    <row r="3564" spans="3:3" x14ac:dyDescent="0.25">
      <c r="C3564" s="37"/>
    </row>
    <row r="3565" spans="3:3" x14ac:dyDescent="0.25">
      <c r="C3565" s="37"/>
    </row>
    <row r="3566" spans="3:3" x14ac:dyDescent="0.25">
      <c r="C3566" s="37"/>
    </row>
    <row r="3567" spans="3:3" x14ac:dyDescent="0.25">
      <c r="C3567" s="37"/>
    </row>
    <row r="3568" spans="3:3" x14ac:dyDescent="0.25">
      <c r="C3568" s="37"/>
    </row>
    <row r="3569" spans="3:3" x14ac:dyDescent="0.25">
      <c r="C3569" s="37"/>
    </row>
    <row r="3570" spans="3:3" x14ac:dyDescent="0.25">
      <c r="C3570" s="37"/>
    </row>
    <row r="3571" spans="3:3" x14ac:dyDescent="0.25">
      <c r="C3571" s="37"/>
    </row>
    <row r="3572" spans="3:3" x14ac:dyDescent="0.25">
      <c r="C3572" s="37"/>
    </row>
    <row r="3573" spans="3:3" x14ac:dyDescent="0.25">
      <c r="C3573" s="37"/>
    </row>
    <row r="3574" spans="3:3" x14ac:dyDescent="0.25">
      <c r="C3574" s="37"/>
    </row>
    <row r="3575" spans="3:3" x14ac:dyDescent="0.25">
      <c r="C3575" s="37"/>
    </row>
    <row r="3576" spans="3:3" x14ac:dyDescent="0.25">
      <c r="C3576" s="37"/>
    </row>
    <row r="3577" spans="3:3" x14ac:dyDescent="0.25">
      <c r="C3577" s="37"/>
    </row>
    <row r="3578" spans="3:3" x14ac:dyDescent="0.25">
      <c r="C3578" s="37"/>
    </row>
    <row r="3579" spans="3:3" x14ac:dyDescent="0.25">
      <c r="C3579" s="37"/>
    </row>
    <row r="3580" spans="3:3" x14ac:dyDescent="0.25">
      <c r="C3580" s="37"/>
    </row>
    <row r="3581" spans="3:3" x14ac:dyDescent="0.25">
      <c r="C3581" s="37"/>
    </row>
    <row r="3582" spans="3:3" x14ac:dyDescent="0.25">
      <c r="C3582" s="37"/>
    </row>
    <row r="3583" spans="3:3" x14ac:dyDescent="0.25">
      <c r="C3583" s="37"/>
    </row>
    <row r="3584" spans="3:3" x14ac:dyDescent="0.25">
      <c r="C3584" s="37"/>
    </row>
    <row r="3585" spans="3:3" x14ac:dyDescent="0.25">
      <c r="C3585" s="37"/>
    </row>
    <row r="3586" spans="3:3" x14ac:dyDescent="0.25">
      <c r="C3586" s="37"/>
    </row>
    <row r="3587" spans="3:3" x14ac:dyDescent="0.25">
      <c r="C3587" s="37"/>
    </row>
    <row r="3588" spans="3:3" x14ac:dyDescent="0.25">
      <c r="C3588" s="37"/>
    </row>
    <row r="3589" spans="3:3" x14ac:dyDescent="0.25">
      <c r="C3589" s="37"/>
    </row>
    <row r="3590" spans="3:3" x14ac:dyDescent="0.25">
      <c r="C3590" s="37"/>
    </row>
    <row r="3591" spans="3:3" x14ac:dyDescent="0.25">
      <c r="C3591" s="37"/>
    </row>
    <row r="3592" spans="3:3" x14ac:dyDescent="0.25">
      <c r="C3592" s="37"/>
    </row>
    <row r="3593" spans="3:3" x14ac:dyDescent="0.25">
      <c r="C3593" s="37"/>
    </row>
    <row r="3594" spans="3:3" x14ac:dyDescent="0.25">
      <c r="C3594" s="37"/>
    </row>
    <row r="3595" spans="3:3" x14ac:dyDescent="0.25">
      <c r="C3595" s="37"/>
    </row>
    <row r="3596" spans="3:3" x14ac:dyDescent="0.25">
      <c r="C3596" s="37"/>
    </row>
    <row r="3597" spans="3:3" x14ac:dyDescent="0.25">
      <c r="C3597" s="37"/>
    </row>
    <row r="3598" spans="3:3" x14ac:dyDescent="0.25">
      <c r="C3598" s="37"/>
    </row>
    <row r="3599" spans="3:3" x14ac:dyDescent="0.25">
      <c r="C3599" s="37"/>
    </row>
    <row r="3600" spans="3:3" x14ac:dyDescent="0.25">
      <c r="C3600" s="37"/>
    </row>
    <row r="3601" spans="3:3" x14ac:dyDescent="0.25">
      <c r="C3601" s="37"/>
    </row>
    <row r="3602" spans="3:3" x14ac:dyDescent="0.25">
      <c r="C3602" s="37"/>
    </row>
    <row r="3603" spans="3:3" x14ac:dyDescent="0.25">
      <c r="C3603" s="37"/>
    </row>
    <row r="3604" spans="3:3" x14ac:dyDescent="0.25">
      <c r="C3604" s="37"/>
    </row>
    <row r="3605" spans="3:3" x14ac:dyDescent="0.25">
      <c r="C3605" s="37"/>
    </row>
    <row r="3606" spans="3:3" x14ac:dyDescent="0.25">
      <c r="C3606" s="37"/>
    </row>
    <row r="3607" spans="3:3" x14ac:dyDescent="0.25">
      <c r="C3607" s="37"/>
    </row>
    <row r="3608" spans="3:3" x14ac:dyDescent="0.25">
      <c r="C3608" s="37"/>
    </row>
    <row r="3609" spans="3:3" x14ac:dyDescent="0.25">
      <c r="C3609" s="37"/>
    </row>
    <row r="3610" spans="3:3" x14ac:dyDescent="0.25">
      <c r="C3610" s="37"/>
    </row>
    <row r="3611" spans="3:3" x14ac:dyDescent="0.25">
      <c r="C3611" s="37"/>
    </row>
    <row r="3612" spans="3:3" x14ac:dyDescent="0.25">
      <c r="C3612" s="37"/>
    </row>
    <row r="3613" spans="3:3" x14ac:dyDescent="0.25">
      <c r="C3613" s="37"/>
    </row>
    <row r="3614" spans="3:3" x14ac:dyDescent="0.25">
      <c r="C3614" s="37"/>
    </row>
    <row r="3615" spans="3:3" x14ac:dyDescent="0.25">
      <c r="C3615" s="37"/>
    </row>
    <row r="3616" spans="3:3" x14ac:dyDescent="0.25">
      <c r="C3616" s="37"/>
    </row>
    <row r="3617" spans="3:3" x14ac:dyDescent="0.25">
      <c r="C3617" s="37"/>
    </row>
    <row r="3618" spans="3:3" x14ac:dyDescent="0.25">
      <c r="C3618" s="37"/>
    </row>
    <row r="3619" spans="3:3" x14ac:dyDescent="0.25">
      <c r="C3619" s="37"/>
    </row>
    <row r="3620" spans="3:3" x14ac:dyDescent="0.25">
      <c r="C3620" s="37"/>
    </row>
    <row r="3621" spans="3:3" x14ac:dyDescent="0.25">
      <c r="C3621" s="37"/>
    </row>
    <row r="3622" spans="3:3" x14ac:dyDescent="0.25">
      <c r="C3622" s="37"/>
    </row>
    <row r="3623" spans="3:3" x14ac:dyDescent="0.25">
      <c r="C3623" s="37"/>
    </row>
    <row r="3624" spans="3:3" x14ac:dyDescent="0.25">
      <c r="C3624" s="37"/>
    </row>
    <row r="3625" spans="3:3" x14ac:dyDescent="0.25">
      <c r="C3625" s="37"/>
    </row>
    <row r="3626" spans="3:3" x14ac:dyDescent="0.25">
      <c r="C3626" s="37"/>
    </row>
    <row r="3627" spans="3:3" x14ac:dyDescent="0.25">
      <c r="C3627" s="37"/>
    </row>
    <row r="3628" spans="3:3" x14ac:dyDescent="0.25">
      <c r="C3628" s="37"/>
    </row>
    <row r="3629" spans="3:3" x14ac:dyDescent="0.25">
      <c r="C3629" s="37"/>
    </row>
    <row r="3630" spans="3:3" x14ac:dyDescent="0.25">
      <c r="C3630" s="37"/>
    </row>
    <row r="3631" spans="3:3" x14ac:dyDescent="0.25">
      <c r="C3631" s="37"/>
    </row>
    <row r="3632" spans="3:3" x14ac:dyDescent="0.25">
      <c r="C3632" s="37"/>
    </row>
    <row r="3633" spans="3:3" x14ac:dyDescent="0.25">
      <c r="C3633" s="37"/>
    </row>
    <row r="3634" spans="3:3" x14ac:dyDescent="0.25">
      <c r="C3634" s="37"/>
    </row>
    <row r="3635" spans="3:3" x14ac:dyDescent="0.25">
      <c r="C3635" s="37"/>
    </row>
    <row r="3636" spans="3:3" x14ac:dyDescent="0.25">
      <c r="C3636" s="37"/>
    </row>
    <row r="3637" spans="3:3" x14ac:dyDescent="0.25">
      <c r="C3637" s="37"/>
    </row>
    <row r="3638" spans="3:3" x14ac:dyDescent="0.25">
      <c r="C3638" s="37"/>
    </row>
    <row r="3639" spans="3:3" x14ac:dyDescent="0.25">
      <c r="C3639" s="37"/>
    </row>
    <row r="3640" spans="3:3" x14ac:dyDescent="0.25">
      <c r="C3640" s="37"/>
    </row>
    <row r="3641" spans="3:3" x14ac:dyDescent="0.25">
      <c r="C3641" s="37"/>
    </row>
    <row r="3642" spans="3:3" x14ac:dyDescent="0.25">
      <c r="C3642" s="37"/>
    </row>
    <row r="3643" spans="3:3" x14ac:dyDescent="0.25">
      <c r="C3643" s="37"/>
    </row>
    <row r="3644" spans="3:3" x14ac:dyDescent="0.25">
      <c r="C3644" s="37"/>
    </row>
    <row r="3645" spans="3:3" x14ac:dyDescent="0.25">
      <c r="C3645" s="37"/>
    </row>
    <row r="3646" spans="3:3" x14ac:dyDescent="0.25">
      <c r="C3646" s="37"/>
    </row>
    <row r="3647" spans="3:3" x14ac:dyDescent="0.25">
      <c r="C3647" s="37"/>
    </row>
    <row r="3648" spans="3:3" x14ac:dyDescent="0.25">
      <c r="C3648" s="37"/>
    </row>
    <row r="3649" spans="3:3" x14ac:dyDescent="0.25">
      <c r="C3649" s="37"/>
    </row>
    <row r="3650" spans="3:3" x14ac:dyDescent="0.25">
      <c r="C3650" s="37"/>
    </row>
    <row r="3651" spans="3:3" x14ac:dyDescent="0.25">
      <c r="C3651" s="37"/>
    </row>
    <row r="3652" spans="3:3" x14ac:dyDescent="0.25">
      <c r="C3652" s="37"/>
    </row>
    <row r="3653" spans="3:3" x14ac:dyDescent="0.25">
      <c r="C3653" s="37"/>
    </row>
    <row r="3654" spans="3:3" x14ac:dyDescent="0.25">
      <c r="C3654" s="37"/>
    </row>
    <row r="3655" spans="3:3" x14ac:dyDescent="0.25">
      <c r="C3655" s="37"/>
    </row>
    <row r="3656" spans="3:3" x14ac:dyDescent="0.25">
      <c r="C3656" s="37"/>
    </row>
    <row r="3657" spans="3:3" x14ac:dyDescent="0.25">
      <c r="C3657" s="37"/>
    </row>
    <row r="3658" spans="3:3" x14ac:dyDescent="0.25">
      <c r="C3658" s="37"/>
    </row>
    <row r="3659" spans="3:3" x14ac:dyDescent="0.25">
      <c r="C3659" s="37"/>
    </row>
    <row r="3660" spans="3:3" x14ac:dyDescent="0.25">
      <c r="C3660" s="37"/>
    </row>
    <row r="3661" spans="3:3" x14ac:dyDescent="0.25">
      <c r="C3661" s="37"/>
    </row>
    <row r="3662" spans="3:3" x14ac:dyDescent="0.25">
      <c r="C3662" s="37"/>
    </row>
    <row r="3663" spans="3:3" x14ac:dyDescent="0.25">
      <c r="C3663" s="37"/>
    </row>
    <row r="3664" spans="3:3" x14ac:dyDescent="0.25">
      <c r="C3664" s="37"/>
    </row>
    <row r="3665" spans="3:3" x14ac:dyDescent="0.25">
      <c r="C3665" s="37"/>
    </row>
    <row r="3666" spans="3:3" x14ac:dyDescent="0.25">
      <c r="C3666" s="37"/>
    </row>
    <row r="3667" spans="3:3" x14ac:dyDescent="0.25">
      <c r="C3667" s="37"/>
    </row>
    <row r="3668" spans="3:3" x14ac:dyDescent="0.25">
      <c r="C3668" s="37"/>
    </row>
    <row r="3669" spans="3:3" x14ac:dyDescent="0.25">
      <c r="C3669" s="37"/>
    </row>
    <row r="3670" spans="3:3" x14ac:dyDescent="0.25">
      <c r="C3670" s="37"/>
    </row>
    <row r="3671" spans="3:3" x14ac:dyDescent="0.25">
      <c r="C3671" s="37"/>
    </row>
    <row r="3672" spans="3:3" x14ac:dyDescent="0.25">
      <c r="C3672" s="37"/>
    </row>
    <row r="3673" spans="3:3" x14ac:dyDescent="0.25">
      <c r="C3673" s="37"/>
    </row>
    <row r="3674" spans="3:3" x14ac:dyDescent="0.25">
      <c r="C3674" s="37"/>
    </row>
    <row r="3675" spans="3:3" x14ac:dyDescent="0.25">
      <c r="C3675" s="37"/>
    </row>
    <row r="3676" spans="3:3" x14ac:dyDescent="0.25">
      <c r="C3676" s="37"/>
    </row>
    <row r="3677" spans="3:3" x14ac:dyDescent="0.25">
      <c r="C3677" s="37"/>
    </row>
    <row r="3678" spans="3:3" x14ac:dyDescent="0.25">
      <c r="C3678" s="37"/>
    </row>
    <row r="3679" spans="3:3" x14ac:dyDescent="0.25">
      <c r="C3679" s="37"/>
    </row>
    <row r="3680" spans="3:3" x14ac:dyDescent="0.25">
      <c r="C3680" s="37"/>
    </row>
    <row r="3681" spans="3:3" x14ac:dyDescent="0.25">
      <c r="C3681" s="37"/>
    </row>
    <row r="3682" spans="3:3" x14ac:dyDescent="0.25">
      <c r="C3682" s="37"/>
    </row>
    <row r="3683" spans="3:3" x14ac:dyDescent="0.25">
      <c r="C3683" s="37"/>
    </row>
    <row r="3684" spans="3:3" x14ac:dyDescent="0.25">
      <c r="C3684" s="37"/>
    </row>
    <row r="3685" spans="3:3" x14ac:dyDescent="0.25">
      <c r="C3685" s="37"/>
    </row>
    <row r="3686" spans="3:3" x14ac:dyDescent="0.25">
      <c r="C3686" s="37"/>
    </row>
    <row r="3687" spans="3:3" x14ac:dyDescent="0.25">
      <c r="C3687" s="37"/>
    </row>
    <row r="3688" spans="3:3" x14ac:dyDescent="0.25">
      <c r="C3688" s="37"/>
    </row>
    <row r="3689" spans="3:3" x14ac:dyDescent="0.25">
      <c r="C3689" s="37"/>
    </row>
    <row r="3690" spans="3:3" x14ac:dyDescent="0.25">
      <c r="C3690" s="37"/>
    </row>
    <row r="3691" spans="3:3" x14ac:dyDescent="0.25">
      <c r="C3691" s="37"/>
    </row>
    <row r="3692" spans="3:3" x14ac:dyDescent="0.25">
      <c r="C3692" s="37"/>
    </row>
    <row r="3693" spans="3:3" x14ac:dyDescent="0.25">
      <c r="C3693" s="37"/>
    </row>
    <row r="3694" spans="3:3" x14ac:dyDescent="0.25">
      <c r="C3694" s="37"/>
    </row>
    <row r="3695" spans="3:3" x14ac:dyDescent="0.25">
      <c r="C3695" s="37"/>
    </row>
    <row r="3696" spans="3:3" x14ac:dyDescent="0.25">
      <c r="C3696" s="37"/>
    </row>
    <row r="3697" spans="3:3" x14ac:dyDescent="0.25">
      <c r="C3697" s="37"/>
    </row>
    <row r="3698" spans="3:3" x14ac:dyDescent="0.25">
      <c r="C3698" s="37"/>
    </row>
    <row r="3699" spans="3:3" x14ac:dyDescent="0.25">
      <c r="C3699" s="37"/>
    </row>
    <row r="3700" spans="3:3" x14ac:dyDescent="0.25">
      <c r="C3700" s="37"/>
    </row>
    <row r="3701" spans="3:3" x14ac:dyDescent="0.25">
      <c r="C3701" s="37"/>
    </row>
    <row r="3702" spans="3:3" x14ac:dyDescent="0.25">
      <c r="C3702" s="37"/>
    </row>
    <row r="3703" spans="3:3" x14ac:dyDescent="0.25">
      <c r="C3703" s="37"/>
    </row>
    <row r="3704" spans="3:3" x14ac:dyDescent="0.25">
      <c r="C3704" s="37"/>
    </row>
    <row r="3705" spans="3:3" x14ac:dyDescent="0.25">
      <c r="C3705" s="37"/>
    </row>
    <row r="3706" spans="3:3" x14ac:dyDescent="0.25">
      <c r="C3706" s="37"/>
    </row>
    <row r="3707" spans="3:3" x14ac:dyDescent="0.25">
      <c r="C3707" s="37"/>
    </row>
    <row r="3708" spans="3:3" x14ac:dyDescent="0.25">
      <c r="C3708" s="37"/>
    </row>
    <row r="3709" spans="3:3" x14ac:dyDescent="0.25">
      <c r="C3709" s="37"/>
    </row>
    <row r="3710" spans="3:3" x14ac:dyDescent="0.25">
      <c r="C3710" s="37"/>
    </row>
    <row r="3711" spans="3:3" x14ac:dyDescent="0.25">
      <c r="C3711" s="37"/>
    </row>
    <row r="3712" spans="3:3" x14ac:dyDescent="0.25">
      <c r="C3712" s="37"/>
    </row>
    <row r="3713" spans="3:3" x14ac:dyDescent="0.25">
      <c r="C3713" s="37"/>
    </row>
    <row r="3714" spans="3:3" x14ac:dyDescent="0.25">
      <c r="C3714" s="37"/>
    </row>
    <row r="3715" spans="3:3" x14ac:dyDescent="0.25">
      <c r="C3715" s="37"/>
    </row>
    <row r="3716" spans="3:3" x14ac:dyDescent="0.25">
      <c r="C3716" s="37"/>
    </row>
    <row r="3717" spans="3:3" x14ac:dyDescent="0.25">
      <c r="C3717" s="37"/>
    </row>
    <row r="3718" spans="3:3" x14ac:dyDescent="0.25">
      <c r="C3718" s="37"/>
    </row>
    <row r="3719" spans="3:3" x14ac:dyDescent="0.25">
      <c r="C3719" s="37"/>
    </row>
    <row r="3720" spans="3:3" x14ac:dyDescent="0.25">
      <c r="C3720" s="37"/>
    </row>
    <row r="3721" spans="3:3" x14ac:dyDescent="0.25">
      <c r="C3721" s="37"/>
    </row>
    <row r="3722" spans="3:3" x14ac:dyDescent="0.25">
      <c r="C3722" s="37"/>
    </row>
    <row r="3723" spans="3:3" x14ac:dyDescent="0.25">
      <c r="C3723" s="37"/>
    </row>
    <row r="3724" spans="3:3" x14ac:dyDescent="0.25">
      <c r="C3724" s="37"/>
    </row>
    <row r="3725" spans="3:3" x14ac:dyDescent="0.25">
      <c r="C3725" s="37"/>
    </row>
    <row r="3726" spans="3:3" x14ac:dyDescent="0.25">
      <c r="C3726" s="37"/>
    </row>
    <row r="3727" spans="3:3" x14ac:dyDescent="0.25">
      <c r="C3727" s="37"/>
    </row>
    <row r="3728" spans="3:3" x14ac:dyDescent="0.25">
      <c r="C3728" s="37"/>
    </row>
    <row r="3729" spans="3:3" x14ac:dyDescent="0.25">
      <c r="C3729" s="37"/>
    </row>
    <row r="3730" spans="3:3" x14ac:dyDescent="0.25">
      <c r="C3730" s="37"/>
    </row>
    <row r="3731" spans="3:3" x14ac:dyDescent="0.25">
      <c r="C3731" s="37"/>
    </row>
    <row r="3732" spans="3:3" x14ac:dyDescent="0.25">
      <c r="C3732" s="37"/>
    </row>
    <row r="3733" spans="3:3" x14ac:dyDescent="0.25">
      <c r="C3733" s="37"/>
    </row>
    <row r="3734" spans="3:3" x14ac:dyDescent="0.25">
      <c r="C3734" s="37"/>
    </row>
    <row r="3735" spans="3:3" x14ac:dyDescent="0.25">
      <c r="C3735" s="37"/>
    </row>
    <row r="3736" spans="3:3" x14ac:dyDescent="0.25">
      <c r="C3736" s="37"/>
    </row>
    <row r="3737" spans="3:3" x14ac:dyDescent="0.25">
      <c r="C3737" s="37"/>
    </row>
    <row r="3738" spans="3:3" x14ac:dyDescent="0.25">
      <c r="C3738" s="37"/>
    </row>
    <row r="3739" spans="3:3" x14ac:dyDescent="0.25">
      <c r="C3739" s="37"/>
    </row>
    <row r="3740" spans="3:3" x14ac:dyDescent="0.25">
      <c r="C3740" s="37"/>
    </row>
    <row r="3741" spans="3:3" x14ac:dyDescent="0.25">
      <c r="C3741" s="37"/>
    </row>
    <row r="3742" spans="3:3" x14ac:dyDescent="0.25">
      <c r="C3742" s="37"/>
    </row>
    <row r="3743" spans="3:3" x14ac:dyDescent="0.25">
      <c r="C3743" s="37"/>
    </row>
    <row r="3744" spans="3:3" x14ac:dyDescent="0.25">
      <c r="C3744" s="37"/>
    </row>
    <row r="3745" spans="3:3" x14ac:dyDescent="0.25">
      <c r="C3745" s="37"/>
    </row>
    <row r="3746" spans="3:3" x14ac:dyDescent="0.25">
      <c r="C3746" s="37"/>
    </row>
    <row r="3747" spans="3:3" x14ac:dyDescent="0.25">
      <c r="C3747" s="37"/>
    </row>
    <row r="3748" spans="3:3" x14ac:dyDescent="0.25">
      <c r="C3748" s="37"/>
    </row>
    <row r="3749" spans="3:3" x14ac:dyDescent="0.25">
      <c r="C3749" s="37"/>
    </row>
    <row r="3750" spans="3:3" x14ac:dyDescent="0.25">
      <c r="C3750" s="37"/>
    </row>
    <row r="3751" spans="3:3" x14ac:dyDescent="0.25">
      <c r="C3751" s="37"/>
    </row>
    <row r="3752" spans="3:3" x14ac:dyDescent="0.25">
      <c r="C3752" s="37"/>
    </row>
    <row r="3753" spans="3:3" x14ac:dyDescent="0.25">
      <c r="C3753" s="37"/>
    </row>
    <row r="3754" spans="3:3" x14ac:dyDescent="0.25">
      <c r="C3754" s="37"/>
    </row>
    <row r="3755" spans="3:3" x14ac:dyDescent="0.25">
      <c r="C3755" s="37"/>
    </row>
    <row r="3756" spans="3:3" x14ac:dyDescent="0.25">
      <c r="C3756" s="37"/>
    </row>
    <row r="3757" spans="3:3" x14ac:dyDescent="0.25">
      <c r="C3757" s="37"/>
    </row>
    <row r="3758" spans="3:3" x14ac:dyDescent="0.25">
      <c r="C3758" s="37"/>
    </row>
    <row r="3759" spans="3:3" x14ac:dyDescent="0.25">
      <c r="C3759" s="37"/>
    </row>
    <row r="3760" spans="3:3" x14ac:dyDescent="0.25">
      <c r="C3760" s="37"/>
    </row>
    <row r="3761" spans="3:3" x14ac:dyDescent="0.25">
      <c r="C3761" s="37"/>
    </row>
    <row r="3762" spans="3:3" x14ac:dyDescent="0.25">
      <c r="C3762" s="37"/>
    </row>
    <row r="3763" spans="3:3" x14ac:dyDescent="0.25">
      <c r="C3763" s="37"/>
    </row>
    <row r="3764" spans="3:3" x14ac:dyDescent="0.25">
      <c r="C3764" s="37"/>
    </row>
    <row r="3765" spans="3:3" x14ac:dyDescent="0.25">
      <c r="C3765" s="37"/>
    </row>
    <row r="3766" spans="3:3" x14ac:dyDescent="0.25">
      <c r="C3766" s="37"/>
    </row>
    <row r="3767" spans="3:3" x14ac:dyDescent="0.25">
      <c r="C3767" s="37"/>
    </row>
    <row r="3768" spans="3:3" x14ac:dyDescent="0.25">
      <c r="C3768" s="37"/>
    </row>
    <row r="3769" spans="3:3" x14ac:dyDescent="0.25">
      <c r="C3769" s="37"/>
    </row>
    <row r="3770" spans="3:3" x14ac:dyDescent="0.25">
      <c r="C3770" s="37"/>
    </row>
    <row r="3771" spans="3:3" x14ac:dyDescent="0.25">
      <c r="C3771" s="37"/>
    </row>
    <row r="3772" spans="3:3" x14ac:dyDescent="0.25">
      <c r="C3772" s="37"/>
    </row>
    <row r="3773" spans="3:3" x14ac:dyDescent="0.25">
      <c r="C3773" s="37"/>
    </row>
    <row r="3774" spans="3:3" x14ac:dyDescent="0.25">
      <c r="C3774" s="37"/>
    </row>
    <row r="3775" spans="3:3" x14ac:dyDescent="0.25">
      <c r="C3775" s="37"/>
    </row>
    <row r="3776" spans="3:3" x14ac:dyDescent="0.25">
      <c r="C3776" s="37"/>
    </row>
    <row r="3777" spans="3:3" x14ac:dyDescent="0.25">
      <c r="C3777" s="37"/>
    </row>
    <row r="3778" spans="3:3" x14ac:dyDescent="0.25">
      <c r="C3778" s="37"/>
    </row>
    <row r="3779" spans="3:3" x14ac:dyDescent="0.25">
      <c r="C3779" s="37"/>
    </row>
    <row r="3780" spans="3:3" x14ac:dyDescent="0.25">
      <c r="C3780" s="37"/>
    </row>
    <row r="3781" spans="3:3" x14ac:dyDescent="0.25">
      <c r="C3781" s="37"/>
    </row>
    <row r="3782" spans="3:3" x14ac:dyDescent="0.25">
      <c r="C3782" s="37"/>
    </row>
    <row r="3783" spans="3:3" x14ac:dyDescent="0.25">
      <c r="C3783" s="37"/>
    </row>
    <row r="3784" spans="3:3" x14ac:dyDescent="0.25">
      <c r="C3784" s="37"/>
    </row>
    <row r="3785" spans="3:3" x14ac:dyDescent="0.25">
      <c r="C3785" s="37"/>
    </row>
    <row r="3786" spans="3:3" x14ac:dyDescent="0.25">
      <c r="C3786" s="37"/>
    </row>
    <row r="3787" spans="3:3" x14ac:dyDescent="0.25">
      <c r="C3787" s="37"/>
    </row>
    <row r="3788" spans="3:3" x14ac:dyDescent="0.25">
      <c r="C3788" s="37"/>
    </row>
    <row r="3789" spans="3:3" x14ac:dyDescent="0.25">
      <c r="C3789" s="37"/>
    </row>
    <row r="3790" spans="3:3" x14ac:dyDescent="0.25">
      <c r="C3790" s="37"/>
    </row>
    <row r="3791" spans="3:3" x14ac:dyDescent="0.25">
      <c r="C3791" s="37"/>
    </row>
    <row r="3792" spans="3:3" x14ac:dyDescent="0.25">
      <c r="C3792" s="37"/>
    </row>
    <row r="3793" spans="3:3" x14ac:dyDescent="0.25">
      <c r="C3793" s="37"/>
    </row>
    <row r="3794" spans="3:3" x14ac:dyDescent="0.25">
      <c r="C3794" s="37"/>
    </row>
    <row r="3795" spans="3:3" x14ac:dyDescent="0.25">
      <c r="C3795" s="37"/>
    </row>
    <row r="3796" spans="3:3" x14ac:dyDescent="0.25">
      <c r="C3796" s="37"/>
    </row>
    <row r="3797" spans="3:3" x14ac:dyDescent="0.25">
      <c r="C3797" s="37"/>
    </row>
    <row r="3798" spans="3:3" x14ac:dyDescent="0.25">
      <c r="C3798" s="37"/>
    </row>
    <row r="3799" spans="3:3" x14ac:dyDescent="0.25">
      <c r="C3799" s="37"/>
    </row>
    <row r="3800" spans="3:3" x14ac:dyDescent="0.25">
      <c r="C3800" s="37"/>
    </row>
    <row r="3801" spans="3:3" x14ac:dyDescent="0.25">
      <c r="C3801" s="37"/>
    </row>
    <row r="3802" spans="3:3" x14ac:dyDescent="0.25">
      <c r="C3802" s="37"/>
    </row>
    <row r="3803" spans="3:3" x14ac:dyDescent="0.25">
      <c r="C3803" s="37"/>
    </row>
    <row r="3804" spans="3:3" x14ac:dyDescent="0.25">
      <c r="C3804" s="37"/>
    </row>
    <row r="3805" spans="3:3" x14ac:dyDescent="0.25">
      <c r="C3805" s="37"/>
    </row>
    <row r="3806" spans="3:3" x14ac:dyDescent="0.25">
      <c r="C3806" s="37"/>
    </row>
    <row r="3807" spans="3:3" x14ac:dyDescent="0.25">
      <c r="C3807" s="37"/>
    </row>
    <row r="3808" spans="3:3" x14ac:dyDescent="0.25">
      <c r="C3808" s="37"/>
    </row>
    <row r="3809" spans="3:3" x14ac:dyDescent="0.25">
      <c r="C3809" s="37"/>
    </row>
    <row r="3810" spans="3:3" x14ac:dyDescent="0.25">
      <c r="C3810" s="37"/>
    </row>
    <row r="3811" spans="3:3" x14ac:dyDescent="0.25">
      <c r="C3811" s="37"/>
    </row>
    <row r="3812" spans="3:3" x14ac:dyDescent="0.25">
      <c r="C3812" s="37"/>
    </row>
    <row r="3813" spans="3:3" x14ac:dyDescent="0.25">
      <c r="C3813" s="37"/>
    </row>
    <row r="3814" spans="3:3" x14ac:dyDescent="0.25">
      <c r="C3814" s="37"/>
    </row>
    <row r="3815" spans="3:3" x14ac:dyDescent="0.25">
      <c r="C3815" s="37"/>
    </row>
    <row r="3816" spans="3:3" x14ac:dyDescent="0.25">
      <c r="C3816" s="37"/>
    </row>
    <row r="3817" spans="3:3" x14ac:dyDescent="0.25">
      <c r="C3817" s="37"/>
    </row>
    <row r="3818" spans="3:3" x14ac:dyDescent="0.25">
      <c r="C3818" s="37"/>
    </row>
    <row r="3819" spans="3:3" x14ac:dyDescent="0.25">
      <c r="C3819" s="37"/>
    </row>
    <row r="3820" spans="3:3" x14ac:dyDescent="0.25">
      <c r="C3820" s="37"/>
    </row>
    <row r="3821" spans="3:3" x14ac:dyDescent="0.25">
      <c r="C3821" s="37"/>
    </row>
    <row r="3822" spans="3:3" x14ac:dyDescent="0.25">
      <c r="C3822" s="37"/>
    </row>
    <row r="3823" spans="3:3" x14ac:dyDescent="0.25">
      <c r="C3823" s="37"/>
    </row>
    <row r="3824" spans="3:3" x14ac:dyDescent="0.25">
      <c r="C3824" s="37"/>
    </row>
    <row r="3825" spans="3:3" x14ac:dyDescent="0.25">
      <c r="C3825" s="37"/>
    </row>
    <row r="3826" spans="3:3" x14ac:dyDescent="0.25">
      <c r="C3826" s="37"/>
    </row>
    <row r="3827" spans="3:3" x14ac:dyDescent="0.25">
      <c r="C3827" s="37"/>
    </row>
    <row r="3828" spans="3:3" x14ac:dyDescent="0.25">
      <c r="C3828" s="37"/>
    </row>
    <row r="3829" spans="3:3" x14ac:dyDescent="0.25">
      <c r="C3829" s="37"/>
    </row>
    <row r="3830" spans="3:3" x14ac:dyDescent="0.25">
      <c r="C3830" s="37"/>
    </row>
    <row r="3831" spans="3:3" x14ac:dyDescent="0.25">
      <c r="C3831" s="37"/>
    </row>
    <row r="3832" spans="3:3" x14ac:dyDescent="0.25">
      <c r="C3832" s="37"/>
    </row>
    <row r="3833" spans="3:3" x14ac:dyDescent="0.25">
      <c r="C3833" s="37"/>
    </row>
    <row r="3834" spans="3:3" x14ac:dyDescent="0.25">
      <c r="C3834" s="37"/>
    </row>
    <row r="3835" spans="3:3" x14ac:dyDescent="0.25">
      <c r="C3835" s="37"/>
    </row>
    <row r="3836" spans="3:3" x14ac:dyDescent="0.25">
      <c r="C3836" s="37"/>
    </row>
    <row r="3837" spans="3:3" x14ac:dyDescent="0.25">
      <c r="C3837" s="37"/>
    </row>
    <row r="3838" spans="3:3" x14ac:dyDescent="0.25">
      <c r="C3838" s="37"/>
    </row>
    <row r="3839" spans="3:3" x14ac:dyDescent="0.25">
      <c r="C3839" s="37"/>
    </row>
    <row r="3840" spans="3:3" x14ac:dyDescent="0.25">
      <c r="C3840" s="37"/>
    </row>
    <row r="3841" spans="3:3" x14ac:dyDescent="0.25">
      <c r="C3841" s="37"/>
    </row>
    <row r="3842" spans="3:3" x14ac:dyDescent="0.25">
      <c r="C3842" s="37"/>
    </row>
    <row r="3843" spans="3:3" x14ac:dyDescent="0.25">
      <c r="C3843" s="37"/>
    </row>
    <row r="3844" spans="3:3" x14ac:dyDescent="0.25">
      <c r="C3844" s="37"/>
    </row>
    <row r="3845" spans="3:3" x14ac:dyDescent="0.25">
      <c r="C3845" s="37"/>
    </row>
    <row r="3846" spans="3:3" x14ac:dyDescent="0.25">
      <c r="C3846" s="37"/>
    </row>
    <row r="3847" spans="3:3" x14ac:dyDescent="0.25">
      <c r="C3847" s="37"/>
    </row>
    <row r="3848" spans="3:3" x14ac:dyDescent="0.25">
      <c r="C3848" s="37"/>
    </row>
    <row r="3849" spans="3:3" x14ac:dyDescent="0.25">
      <c r="C3849" s="37"/>
    </row>
    <row r="3850" spans="3:3" x14ac:dyDescent="0.25">
      <c r="C3850" s="37"/>
    </row>
    <row r="3851" spans="3:3" x14ac:dyDescent="0.25">
      <c r="C3851" s="37"/>
    </row>
    <row r="3852" spans="3:3" x14ac:dyDescent="0.25">
      <c r="C3852" s="37"/>
    </row>
    <row r="3853" spans="3:3" x14ac:dyDescent="0.25">
      <c r="C3853" s="37"/>
    </row>
    <row r="3854" spans="3:3" x14ac:dyDescent="0.25">
      <c r="C3854" s="37"/>
    </row>
    <row r="3855" spans="3:3" x14ac:dyDescent="0.25">
      <c r="C3855" s="37"/>
    </row>
    <row r="3856" spans="3:3" x14ac:dyDescent="0.25">
      <c r="C3856" s="37"/>
    </row>
    <row r="3857" spans="3:3" x14ac:dyDescent="0.25">
      <c r="C3857" s="37"/>
    </row>
    <row r="3858" spans="3:3" x14ac:dyDescent="0.25">
      <c r="C3858" s="37"/>
    </row>
    <row r="3859" spans="3:3" x14ac:dyDescent="0.25">
      <c r="C3859" s="37"/>
    </row>
    <row r="3860" spans="3:3" x14ac:dyDescent="0.25">
      <c r="C3860" s="37"/>
    </row>
    <row r="3861" spans="3:3" x14ac:dyDescent="0.25">
      <c r="C3861" s="37"/>
    </row>
    <row r="3862" spans="3:3" x14ac:dyDescent="0.25">
      <c r="C3862" s="37"/>
    </row>
    <row r="3863" spans="3:3" x14ac:dyDescent="0.25">
      <c r="C3863" s="37"/>
    </row>
    <row r="3864" spans="3:3" x14ac:dyDescent="0.25">
      <c r="C3864" s="37"/>
    </row>
    <row r="3865" spans="3:3" x14ac:dyDescent="0.25">
      <c r="C3865" s="37"/>
    </row>
    <row r="3866" spans="3:3" x14ac:dyDescent="0.25">
      <c r="C3866" s="37"/>
    </row>
    <row r="3867" spans="3:3" x14ac:dyDescent="0.25">
      <c r="C3867" s="37"/>
    </row>
    <row r="3868" spans="3:3" x14ac:dyDescent="0.25">
      <c r="C3868" s="37"/>
    </row>
    <row r="3869" spans="3:3" x14ac:dyDescent="0.25">
      <c r="C3869" s="37"/>
    </row>
    <row r="3870" spans="3:3" x14ac:dyDescent="0.25">
      <c r="C3870" s="37"/>
    </row>
    <row r="3871" spans="3:3" x14ac:dyDescent="0.25">
      <c r="C3871" s="37"/>
    </row>
    <row r="3872" spans="3:3" x14ac:dyDescent="0.25">
      <c r="C3872" s="37"/>
    </row>
    <row r="3873" spans="3:3" x14ac:dyDescent="0.25">
      <c r="C3873" s="37"/>
    </row>
    <row r="3874" spans="3:3" x14ac:dyDescent="0.25">
      <c r="C3874" s="37"/>
    </row>
    <row r="3875" spans="3:3" x14ac:dyDescent="0.25">
      <c r="C3875" s="37"/>
    </row>
    <row r="3876" spans="3:3" x14ac:dyDescent="0.25">
      <c r="C3876" s="37"/>
    </row>
    <row r="3877" spans="3:3" x14ac:dyDescent="0.25">
      <c r="C3877" s="37"/>
    </row>
    <row r="3878" spans="3:3" x14ac:dyDescent="0.25">
      <c r="C3878" s="37"/>
    </row>
    <row r="3879" spans="3:3" x14ac:dyDescent="0.25">
      <c r="C3879" s="37"/>
    </row>
    <row r="3880" spans="3:3" x14ac:dyDescent="0.25">
      <c r="C3880" s="37"/>
    </row>
    <row r="3881" spans="3:3" x14ac:dyDescent="0.25">
      <c r="C3881" s="37"/>
    </row>
    <row r="3882" spans="3:3" x14ac:dyDescent="0.25">
      <c r="C3882" s="37"/>
    </row>
    <row r="3883" spans="3:3" x14ac:dyDescent="0.25">
      <c r="C3883" s="37"/>
    </row>
    <row r="3884" spans="3:3" x14ac:dyDescent="0.25">
      <c r="C3884" s="37"/>
    </row>
    <row r="3885" spans="3:3" x14ac:dyDescent="0.25">
      <c r="C3885" s="37"/>
    </row>
    <row r="3886" spans="3:3" x14ac:dyDescent="0.25">
      <c r="C3886" s="37"/>
    </row>
    <row r="3887" spans="3:3" x14ac:dyDescent="0.25">
      <c r="C3887" s="37"/>
    </row>
    <row r="3888" spans="3:3" x14ac:dyDescent="0.25">
      <c r="C3888" s="37"/>
    </row>
    <row r="3889" spans="3:3" x14ac:dyDescent="0.25">
      <c r="C3889" s="37"/>
    </row>
    <row r="3890" spans="3:3" x14ac:dyDescent="0.25">
      <c r="C3890" s="37"/>
    </row>
    <row r="3891" spans="3:3" x14ac:dyDescent="0.25">
      <c r="C3891" s="37"/>
    </row>
    <row r="3892" spans="3:3" x14ac:dyDescent="0.25">
      <c r="C3892" s="37"/>
    </row>
    <row r="3893" spans="3:3" x14ac:dyDescent="0.25">
      <c r="C3893" s="37"/>
    </row>
    <row r="3894" spans="3:3" x14ac:dyDescent="0.25">
      <c r="C3894" s="37"/>
    </row>
    <row r="3895" spans="3:3" x14ac:dyDescent="0.25">
      <c r="C3895" s="37"/>
    </row>
    <row r="3896" spans="3:3" x14ac:dyDescent="0.25">
      <c r="C3896" s="37"/>
    </row>
    <row r="3897" spans="3:3" x14ac:dyDescent="0.25">
      <c r="C3897" s="37"/>
    </row>
    <row r="3898" spans="3:3" x14ac:dyDescent="0.25">
      <c r="C3898" s="37"/>
    </row>
    <row r="3899" spans="3:3" x14ac:dyDescent="0.25">
      <c r="C3899" s="37"/>
    </row>
    <row r="3900" spans="3:3" x14ac:dyDescent="0.25">
      <c r="C3900" s="37"/>
    </row>
    <row r="3901" spans="3:3" x14ac:dyDescent="0.25">
      <c r="C3901" s="37"/>
    </row>
    <row r="3902" spans="3:3" x14ac:dyDescent="0.25">
      <c r="C3902" s="37"/>
    </row>
    <row r="3903" spans="3:3" x14ac:dyDescent="0.25">
      <c r="C3903" s="37"/>
    </row>
    <row r="3904" spans="3:3" x14ac:dyDescent="0.25">
      <c r="C3904" s="37"/>
    </row>
    <row r="3905" spans="3:3" x14ac:dyDescent="0.25">
      <c r="C3905" s="37"/>
    </row>
    <row r="3906" spans="3:3" x14ac:dyDescent="0.25">
      <c r="C3906" s="37"/>
    </row>
    <row r="3907" spans="3:3" x14ac:dyDescent="0.25">
      <c r="C3907" s="37"/>
    </row>
    <row r="3908" spans="3:3" x14ac:dyDescent="0.25">
      <c r="C3908" s="37"/>
    </row>
    <row r="3909" spans="3:3" x14ac:dyDescent="0.25">
      <c r="C3909" s="37"/>
    </row>
    <row r="3910" spans="3:3" x14ac:dyDescent="0.25">
      <c r="C3910" s="37"/>
    </row>
    <row r="3911" spans="3:3" x14ac:dyDescent="0.25">
      <c r="C3911" s="37"/>
    </row>
    <row r="3912" spans="3:3" x14ac:dyDescent="0.25">
      <c r="C3912" s="37"/>
    </row>
    <row r="3913" spans="3:3" x14ac:dyDescent="0.25">
      <c r="C3913" s="37"/>
    </row>
    <row r="3914" spans="3:3" x14ac:dyDescent="0.25">
      <c r="C3914" s="37"/>
    </row>
    <row r="3915" spans="3:3" x14ac:dyDescent="0.25">
      <c r="C3915" s="37"/>
    </row>
    <row r="3916" spans="3:3" x14ac:dyDescent="0.25">
      <c r="C3916" s="37"/>
    </row>
    <row r="3917" spans="3:3" x14ac:dyDescent="0.25">
      <c r="C3917" s="37"/>
    </row>
    <row r="3918" spans="3:3" x14ac:dyDescent="0.25">
      <c r="C3918" s="37"/>
    </row>
    <row r="3919" spans="3:3" x14ac:dyDescent="0.25">
      <c r="C3919" s="37"/>
    </row>
    <row r="3920" spans="3:3" x14ac:dyDescent="0.25">
      <c r="C3920" s="37"/>
    </row>
    <row r="3921" spans="3:3" x14ac:dyDescent="0.25">
      <c r="C3921" s="37"/>
    </row>
    <row r="3922" spans="3:3" x14ac:dyDescent="0.25">
      <c r="C3922" s="37"/>
    </row>
    <row r="3923" spans="3:3" x14ac:dyDescent="0.25">
      <c r="C3923" s="37"/>
    </row>
    <row r="3924" spans="3:3" x14ac:dyDescent="0.25">
      <c r="C3924" s="37"/>
    </row>
    <row r="3925" spans="3:3" x14ac:dyDescent="0.25">
      <c r="C3925" s="37"/>
    </row>
    <row r="3926" spans="3:3" x14ac:dyDescent="0.25">
      <c r="C3926" s="37"/>
    </row>
    <row r="3927" spans="3:3" x14ac:dyDescent="0.25">
      <c r="C3927" s="37"/>
    </row>
    <row r="3928" spans="3:3" x14ac:dyDescent="0.25">
      <c r="C3928" s="37"/>
    </row>
    <row r="3929" spans="3:3" x14ac:dyDescent="0.25">
      <c r="C3929" s="37"/>
    </row>
    <row r="3930" spans="3:3" x14ac:dyDescent="0.25">
      <c r="C3930" s="37"/>
    </row>
    <row r="3931" spans="3:3" x14ac:dyDescent="0.25">
      <c r="C3931" s="37"/>
    </row>
    <row r="3932" spans="3:3" x14ac:dyDescent="0.25">
      <c r="C3932" s="37"/>
    </row>
    <row r="3933" spans="3:3" x14ac:dyDescent="0.25">
      <c r="C3933" s="37"/>
    </row>
    <row r="3934" spans="3:3" x14ac:dyDescent="0.25">
      <c r="C3934" s="37"/>
    </row>
    <row r="3935" spans="3:3" x14ac:dyDescent="0.25">
      <c r="C3935" s="37"/>
    </row>
    <row r="3936" spans="3:3" x14ac:dyDescent="0.25">
      <c r="C3936" s="37"/>
    </row>
    <row r="3937" spans="3:3" x14ac:dyDescent="0.25">
      <c r="C3937" s="37"/>
    </row>
    <row r="3938" spans="3:3" x14ac:dyDescent="0.25">
      <c r="C3938" s="37"/>
    </row>
    <row r="3939" spans="3:3" x14ac:dyDescent="0.25">
      <c r="C3939" s="37"/>
    </row>
    <row r="3940" spans="3:3" x14ac:dyDescent="0.25">
      <c r="C3940" s="37"/>
    </row>
    <row r="3941" spans="3:3" x14ac:dyDescent="0.25">
      <c r="C3941" s="37"/>
    </row>
    <row r="3942" spans="3:3" x14ac:dyDescent="0.25">
      <c r="C3942" s="37"/>
    </row>
    <row r="3943" spans="3:3" x14ac:dyDescent="0.25">
      <c r="C3943" s="37"/>
    </row>
    <row r="3944" spans="3:3" x14ac:dyDescent="0.25">
      <c r="C3944" s="37"/>
    </row>
    <row r="3945" spans="3:3" x14ac:dyDescent="0.25">
      <c r="C3945" s="37"/>
    </row>
    <row r="3946" spans="3:3" x14ac:dyDescent="0.25">
      <c r="C3946" s="37"/>
    </row>
    <row r="3947" spans="3:3" x14ac:dyDescent="0.25">
      <c r="C3947" s="37"/>
    </row>
    <row r="3948" spans="3:3" x14ac:dyDescent="0.25">
      <c r="C3948" s="37"/>
    </row>
    <row r="3949" spans="3:3" x14ac:dyDescent="0.25">
      <c r="C3949" s="37"/>
    </row>
    <row r="3950" spans="3:3" x14ac:dyDescent="0.25">
      <c r="C3950" s="37"/>
    </row>
    <row r="3951" spans="3:3" x14ac:dyDescent="0.25">
      <c r="C3951" s="37"/>
    </row>
    <row r="3952" spans="3:3" x14ac:dyDescent="0.25">
      <c r="C3952" s="37"/>
    </row>
    <row r="3953" spans="3:3" x14ac:dyDescent="0.25">
      <c r="C3953" s="37"/>
    </row>
    <row r="3954" spans="3:3" x14ac:dyDescent="0.25">
      <c r="C3954" s="37"/>
    </row>
    <row r="3955" spans="3:3" x14ac:dyDescent="0.25">
      <c r="C3955" s="37"/>
    </row>
    <row r="3956" spans="3:3" x14ac:dyDescent="0.25">
      <c r="C3956" s="37"/>
    </row>
    <row r="3957" spans="3:3" x14ac:dyDescent="0.25">
      <c r="C3957" s="37"/>
    </row>
    <row r="3958" spans="3:3" x14ac:dyDescent="0.25">
      <c r="C3958" s="37"/>
    </row>
    <row r="3959" spans="3:3" x14ac:dyDescent="0.25">
      <c r="C3959" s="37"/>
    </row>
    <row r="3960" spans="3:3" x14ac:dyDescent="0.25">
      <c r="C3960" s="37"/>
    </row>
    <row r="3961" spans="3:3" x14ac:dyDescent="0.25">
      <c r="C3961" s="37"/>
    </row>
    <row r="3962" spans="3:3" x14ac:dyDescent="0.25">
      <c r="C3962" s="37"/>
    </row>
    <row r="3963" spans="3:3" x14ac:dyDescent="0.25">
      <c r="C3963" s="37"/>
    </row>
    <row r="3964" spans="3:3" x14ac:dyDescent="0.25">
      <c r="C3964" s="37"/>
    </row>
    <row r="3965" spans="3:3" x14ac:dyDescent="0.25">
      <c r="C3965" s="37"/>
    </row>
    <row r="3966" spans="3:3" x14ac:dyDescent="0.25">
      <c r="C3966" s="37"/>
    </row>
    <row r="3967" spans="3:3" x14ac:dyDescent="0.25">
      <c r="C3967" s="37"/>
    </row>
    <row r="3968" spans="3:3" x14ac:dyDescent="0.25">
      <c r="C3968" s="37"/>
    </row>
    <row r="3969" spans="3:3" x14ac:dyDescent="0.25">
      <c r="C3969" s="37"/>
    </row>
    <row r="3970" spans="3:3" x14ac:dyDescent="0.25">
      <c r="C3970" s="37"/>
    </row>
    <row r="3971" spans="3:3" x14ac:dyDescent="0.25">
      <c r="C3971" s="37"/>
    </row>
    <row r="3972" spans="3:3" x14ac:dyDescent="0.25">
      <c r="C3972" s="37"/>
    </row>
    <row r="3973" spans="3:3" x14ac:dyDescent="0.25">
      <c r="C3973" s="37"/>
    </row>
    <row r="3974" spans="3:3" x14ac:dyDescent="0.25">
      <c r="C3974" s="37"/>
    </row>
    <row r="3975" spans="3:3" x14ac:dyDescent="0.25">
      <c r="C3975" s="37"/>
    </row>
    <row r="3976" spans="3:3" x14ac:dyDescent="0.25">
      <c r="C3976" s="37"/>
    </row>
    <row r="3977" spans="3:3" x14ac:dyDescent="0.25">
      <c r="C3977" s="37"/>
    </row>
    <row r="3978" spans="3:3" x14ac:dyDescent="0.25">
      <c r="C3978" s="37"/>
    </row>
    <row r="3979" spans="3:3" x14ac:dyDescent="0.25">
      <c r="C3979" s="37"/>
    </row>
    <row r="3980" spans="3:3" x14ac:dyDescent="0.25">
      <c r="C3980" s="37"/>
    </row>
    <row r="3981" spans="3:3" x14ac:dyDescent="0.25">
      <c r="C3981" s="37"/>
    </row>
    <row r="3982" spans="3:3" x14ac:dyDescent="0.25">
      <c r="C3982" s="37"/>
    </row>
    <row r="3983" spans="3:3" x14ac:dyDescent="0.25">
      <c r="C3983" s="37"/>
    </row>
    <row r="3984" spans="3:3" x14ac:dyDescent="0.25">
      <c r="C3984" s="37"/>
    </row>
    <row r="3985" spans="3:3" x14ac:dyDescent="0.25">
      <c r="C3985" s="37"/>
    </row>
    <row r="3986" spans="3:3" x14ac:dyDescent="0.25">
      <c r="C3986" s="37"/>
    </row>
    <row r="3987" spans="3:3" x14ac:dyDescent="0.25">
      <c r="C3987" s="37"/>
    </row>
    <row r="3988" spans="3:3" x14ac:dyDescent="0.25">
      <c r="C3988" s="37"/>
    </row>
    <row r="3989" spans="3:3" x14ac:dyDescent="0.25">
      <c r="C3989" s="37"/>
    </row>
    <row r="3990" spans="3:3" x14ac:dyDescent="0.25">
      <c r="C3990" s="37"/>
    </row>
    <row r="3991" spans="3:3" x14ac:dyDescent="0.25">
      <c r="C3991" s="37"/>
    </row>
    <row r="3992" spans="3:3" x14ac:dyDescent="0.25">
      <c r="C3992" s="37"/>
    </row>
    <row r="3993" spans="3:3" x14ac:dyDescent="0.25">
      <c r="C3993" s="37"/>
    </row>
    <row r="3994" spans="3:3" x14ac:dyDescent="0.25">
      <c r="C3994" s="37"/>
    </row>
    <row r="3995" spans="3:3" x14ac:dyDescent="0.25">
      <c r="C3995" s="37"/>
    </row>
    <row r="3996" spans="3:3" x14ac:dyDescent="0.25">
      <c r="C3996" s="37"/>
    </row>
    <row r="3997" spans="3:3" x14ac:dyDescent="0.25">
      <c r="C3997" s="37"/>
    </row>
    <row r="3998" spans="3:3" x14ac:dyDescent="0.25">
      <c r="C3998" s="37"/>
    </row>
    <row r="3999" spans="3:3" x14ac:dyDescent="0.25">
      <c r="C3999" s="37"/>
    </row>
    <row r="4000" spans="3:3" x14ac:dyDescent="0.25">
      <c r="C4000" s="37"/>
    </row>
    <row r="4001" spans="3:3" x14ac:dyDescent="0.25">
      <c r="C4001" s="37"/>
    </row>
    <row r="4002" spans="3:3" x14ac:dyDescent="0.25">
      <c r="C4002" s="37"/>
    </row>
    <row r="4003" spans="3:3" x14ac:dyDescent="0.25">
      <c r="C4003" s="37"/>
    </row>
    <row r="4004" spans="3:3" x14ac:dyDescent="0.25">
      <c r="C4004" s="37"/>
    </row>
    <row r="4005" spans="3:3" x14ac:dyDescent="0.25">
      <c r="C4005" s="37"/>
    </row>
    <row r="4006" spans="3:3" x14ac:dyDescent="0.25">
      <c r="C4006" s="37"/>
    </row>
    <row r="4007" spans="3:3" x14ac:dyDescent="0.25">
      <c r="C4007" s="37"/>
    </row>
    <row r="4008" spans="3:3" x14ac:dyDescent="0.25">
      <c r="C4008" s="37"/>
    </row>
    <row r="4009" spans="3:3" x14ac:dyDescent="0.25">
      <c r="C4009" s="37"/>
    </row>
    <row r="4010" spans="3:3" x14ac:dyDescent="0.25">
      <c r="C4010" s="37"/>
    </row>
    <row r="4011" spans="3:3" x14ac:dyDescent="0.25">
      <c r="C4011" s="37"/>
    </row>
    <row r="4012" spans="3:3" x14ac:dyDescent="0.25">
      <c r="C4012" s="37"/>
    </row>
    <row r="4013" spans="3:3" x14ac:dyDescent="0.25">
      <c r="C4013" s="37"/>
    </row>
    <row r="4014" spans="3:3" x14ac:dyDescent="0.25">
      <c r="C4014" s="37"/>
    </row>
    <row r="4015" spans="3:3" x14ac:dyDescent="0.25">
      <c r="C4015" s="37"/>
    </row>
    <row r="4016" spans="3:3" x14ac:dyDescent="0.25">
      <c r="C4016" s="37"/>
    </row>
    <row r="4017" spans="3:3" x14ac:dyDescent="0.25">
      <c r="C4017" s="37"/>
    </row>
    <row r="4018" spans="3:3" x14ac:dyDescent="0.25">
      <c r="C4018" s="37"/>
    </row>
    <row r="4019" spans="3:3" x14ac:dyDescent="0.25">
      <c r="C4019" s="37"/>
    </row>
    <row r="4020" spans="3:3" x14ac:dyDescent="0.25">
      <c r="C4020" s="37"/>
    </row>
    <row r="4021" spans="3:3" x14ac:dyDescent="0.25">
      <c r="C4021" s="37"/>
    </row>
    <row r="4022" spans="3:3" x14ac:dyDescent="0.25">
      <c r="C4022" s="37"/>
    </row>
    <row r="4023" spans="3:3" x14ac:dyDescent="0.25">
      <c r="C4023" s="37"/>
    </row>
    <row r="4024" spans="3:3" x14ac:dyDescent="0.25">
      <c r="C4024" s="37"/>
    </row>
    <row r="4025" spans="3:3" x14ac:dyDescent="0.25">
      <c r="C4025" s="37"/>
    </row>
    <row r="4026" spans="3:3" x14ac:dyDescent="0.25">
      <c r="C4026" s="37"/>
    </row>
    <row r="4027" spans="3:3" x14ac:dyDescent="0.25">
      <c r="C4027" s="37"/>
    </row>
    <row r="4028" spans="3:3" x14ac:dyDescent="0.25">
      <c r="C4028" s="37"/>
    </row>
    <row r="4029" spans="3:3" x14ac:dyDescent="0.25">
      <c r="C4029" s="37"/>
    </row>
    <row r="4030" spans="3:3" x14ac:dyDescent="0.25">
      <c r="C4030" s="37"/>
    </row>
    <row r="4031" spans="3:3" x14ac:dyDescent="0.25">
      <c r="C4031" s="37"/>
    </row>
    <row r="4032" spans="3:3" x14ac:dyDescent="0.25">
      <c r="C4032" s="37"/>
    </row>
    <row r="4033" spans="3:3" x14ac:dyDescent="0.25">
      <c r="C4033" s="37"/>
    </row>
    <row r="4034" spans="3:3" x14ac:dyDescent="0.25">
      <c r="C4034" s="37"/>
    </row>
    <row r="4035" spans="3:3" x14ac:dyDescent="0.25">
      <c r="C4035" s="37"/>
    </row>
    <row r="4036" spans="3:3" x14ac:dyDescent="0.25">
      <c r="C4036" s="37"/>
    </row>
    <row r="4037" spans="3:3" x14ac:dyDescent="0.25">
      <c r="C4037" s="37"/>
    </row>
    <row r="4038" spans="3:3" x14ac:dyDescent="0.25">
      <c r="C4038" s="37"/>
    </row>
    <row r="4039" spans="3:3" x14ac:dyDescent="0.25">
      <c r="C4039" s="37"/>
    </row>
    <row r="4040" spans="3:3" x14ac:dyDescent="0.25">
      <c r="C4040" s="37"/>
    </row>
    <row r="4041" spans="3:3" x14ac:dyDescent="0.25">
      <c r="C4041" s="37"/>
    </row>
    <row r="4042" spans="3:3" x14ac:dyDescent="0.25">
      <c r="C4042" s="37"/>
    </row>
    <row r="4043" spans="3:3" x14ac:dyDescent="0.25">
      <c r="C4043" s="37"/>
    </row>
    <row r="4044" spans="3:3" x14ac:dyDescent="0.25">
      <c r="C4044" s="37"/>
    </row>
    <row r="4045" spans="3:3" x14ac:dyDescent="0.25">
      <c r="C4045" s="37"/>
    </row>
    <row r="4046" spans="3:3" x14ac:dyDescent="0.25">
      <c r="C4046" s="37"/>
    </row>
    <row r="4047" spans="3:3" x14ac:dyDescent="0.25">
      <c r="C4047" s="37"/>
    </row>
    <row r="4048" spans="3:3" x14ac:dyDescent="0.25">
      <c r="C4048" s="37"/>
    </row>
    <row r="4049" spans="3:3" x14ac:dyDescent="0.25">
      <c r="C4049" s="37"/>
    </row>
    <row r="4050" spans="3:3" x14ac:dyDescent="0.25">
      <c r="C4050" s="37"/>
    </row>
    <row r="4051" spans="3:3" x14ac:dyDescent="0.25">
      <c r="C4051" s="37"/>
    </row>
    <row r="4052" spans="3:3" x14ac:dyDescent="0.25">
      <c r="C4052" s="37"/>
    </row>
    <row r="4053" spans="3:3" x14ac:dyDescent="0.25">
      <c r="C4053" s="37"/>
    </row>
    <row r="4054" spans="3:3" x14ac:dyDescent="0.25">
      <c r="C4054" s="37"/>
    </row>
    <row r="4055" spans="3:3" x14ac:dyDescent="0.25">
      <c r="C4055" s="37"/>
    </row>
    <row r="4056" spans="3:3" x14ac:dyDescent="0.25">
      <c r="C4056" s="37"/>
    </row>
    <row r="4057" spans="3:3" x14ac:dyDescent="0.25">
      <c r="C4057" s="37"/>
    </row>
    <row r="4058" spans="3:3" x14ac:dyDescent="0.25">
      <c r="C4058" s="37"/>
    </row>
    <row r="4059" spans="3:3" x14ac:dyDescent="0.25">
      <c r="C4059" s="37"/>
    </row>
    <row r="4060" spans="3:3" x14ac:dyDescent="0.25">
      <c r="C4060" s="37"/>
    </row>
    <row r="4061" spans="3:3" x14ac:dyDescent="0.25">
      <c r="C4061" s="37"/>
    </row>
    <row r="4062" spans="3:3" x14ac:dyDescent="0.25">
      <c r="C4062" s="37"/>
    </row>
    <row r="4063" spans="3:3" x14ac:dyDescent="0.25">
      <c r="C4063" s="37"/>
    </row>
    <row r="4064" spans="3:3" x14ac:dyDescent="0.25">
      <c r="C4064" s="37"/>
    </row>
    <row r="4065" spans="3:3" x14ac:dyDescent="0.25">
      <c r="C4065" s="37"/>
    </row>
    <row r="4066" spans="3:3" x14ac:dyDescent="0.25">
      <c r="C4066" s="37"/>
    </row>
    <row r="4067" spans="3:3" x14ac:dyDescent="0.25">
      <c r="C4067" s="37"/>
    </row>
    <row r="4068" spans="3:3" x14ac:dyDescent="0.25">
      <c r="C4068" s="37"/>
    </row>
    <row r="4069" spans="3:3" x14ac:dyDescent="0.25">
      <c r="C4069" s="37"/>
    </row>
    <row r="4070" spans="3:3" x14ac:dyDescent="0.25">
      <c r="C4070" s="37"/>
    </row>
    <row r="4071" spans="3:3" x14ac:dyDescent="0.25">
      <c r="C4071" s="37"/>
    </row>
    <row r="4072" spans="3:3" x14ac:dyDescent="0.25">
      <c r="C4072" s="37"/>
    </row>
    <row r="4073" spans="3:3" x14ac:dyDescent="0.25">
      <c r="C4073" s="37"/>
    </row>
    <row r="4074" spans="3:3" x14ac:dyDescent="0.25">
      <c r="C4074" s="37"/>
    </row>
    <row r="4075" spans="3:3" x14ac:dyDescent="0.25">
      <c r="C4075" s="37"/>
    </row>
    <row r="4076" spans="3:3" x14ac:dyDescent="0.25">
      <c r="C4076" s="37"/>
    </row>
    <row r="4077" spans="3:3" x14ac:dyDescent="0.25">
      <c r="C4077" s="37"/>
    </row>
    <row r="4078" spans="3:3" x14ac:dyDescent="0.25">
      <c r="C4078" s="37"/>
    </row>
    <row r="4079" spans="3:3" x14ac:dyDescent="0.25">
      <c r="C4079" s="37"/>
    </row>
    <row r="4080" spans="3:3" x14ac:dyDescent="0.25">
      <c r="C4080" s="37"/>
    </row>
    <row r="4081" spans="3:3" x14ac:dyDescent="0.25">
      <c r="C4081" s="37"/>
    </row>
    <row r="4082" spans="3:3" x14ac:dyDescent="0.25">
      <c r="C4082" s="37"/>
    </row>
    <row r="4083" spans="3:3" x14ac:dyDescent="0.25">
      <c r="C4083" s="37"/>
    </row>
    <row r="4084" spans="3:3" x14ac:dyDescent="0.25">
      <c r="C4084" s="37"/>
    </row>
    <row r="4085" spans="3:3" x14ac:dyDescent="0.25">
      <c r="C4085" s="37"/>
    </row>
    <row r="4086" spans="3:3" x14ac:dyDescent="0.25">
      <c r="C4086" s="37"/>
    </row>
    <row r="4087" spans="3:3" x14ac:dyDescent="0.25">
      <c r="C4087" s="37"/>
    </row>
    <row r="4088" spans="3:3" x14ac:dyDescent="0.25">
      <c r="C4088" s="37"/>
    </row>
    <row r="4089" spans="3:3" x14ac:dyDescent="0.25">
      <c r="C4089" s="37"/>
    </row>
    <row r="4090" spans="3:3" x14ac:dyDescent="0.25">
      <c r="C4090" s="37"/>
    </row>
    <row r="4091" spans="3:3" x14ac:dyDescent="0.25">
      <c r="C4091" s="37"/>
    </row>
    <row r="4092" spans="3:3" x14ac:dyDescent="0.25">
      <c r="C4092" s="37"/>
    </row>
    <row r="4093" spans="3:3" x14ac:dyDescent="0.25">
      <c r="C4093" s="37"/>
    </row>
    <row r="4094" spans="3:3" x14ac:dyDescent="0.25">
      <c r="C4094" s="37"/>
    </row>
    <row r="4095" spans="3:3" x14ac:dyDescent="0.25">
      <c r="C4095" s="37"/>
    </row>
    <row r="4096" spans="3:3" x14ac:dyDescent="0.25">
      <c r="C4096" s="37"/>
    </row>
    <row r="4097" spans="3:3" x14ac:dyDescent="0.25">
      <c r="C4097" s="37"/>
    </row>
    <row r="4098" spans="3:3" x14ac:dyDescent="0.25">
      <c r="C4098" s="37"/>
    </row>
    <row r="4099" spans="3:3" x14ac:dyDescent="0.25">
      <c r="C4099" s="37"/>
    </row>
    <row r="4100" spans="3:3" x14ac:dyDescent="0.25">
      <c r="C4100" s="37"/>
    </row>
    <row r="4101" spans="3:3" x14ac:dyDescent="0.25">
      <c r="C4101" s="37"/>
    </row>
    <row r="4102" spans="3:3" x14ac:dyDescent="0.25">
      <c r="C4102" s="37"/>
    </row>
    <row r="4103" spans="3:3" x14ac:dyDescent="0.25">
      <c r="C4103" s="37"/>
    </row>
    <row r="4104" spans="3:3" x14ac:dyDescent="0.25">
      <c r="C4104" s="37"/>
    </row>
    <row r="4105" spans="3:3" x14ac:dyDescent="0.25">
      <c r="C4105" s="37"/>
    </row>
    <row r="4106" spans="3:3" x14ac:dyDescent="0.25">
      <c r="C4106" s="37"/>
    </row>
    <row r="4107" spans="3:3" x14ac:dyDescent="0.25">
      <c r="C4107" s="37"/>
    </row>
    <row r="4108" spans="3:3" x14ac:dyDescent="0.25">
      <c r="C4108" s="37"/>
    </row>
    <row r="4109" spans="3:3" x14ac:dyDescent="0.25">
      <c r="C4109" s="37"/>
    </row>
    <row r="4110" spans="3:3" x14ac:dyDescent="0.25">
      <c r="C4110" s="37"/>
    </row>
    <row r="4111" spans="3:3" x14ac:dyDescent="0.25">
      <c r="C4111" s="37"/>
    </row>
    <row r="4112" spans="3:3" x14ac:dyDescent="0.25">
      <c r="C4112" s="37"/>
    </row>
    <row r="4113" spans="3:3" x14ac:dyDescent="0.25">
      <c r="C4113" s="37"/>
    </row>
    <row r="4114" spans="3:3" x14ac:dyDescent="0.25">
      <c r="C4114" s="37"/>
    </row>
    <row r="4115" spans="3:3" x14ac:dyDescent="0.25">
      <c r="C4115" s="37"/>
    </row>
    <row r="4116" spans="3:3" x14ac:dyDescent="0.25">
      <c r="C4116" s="37"/>
    </row>
    <row r="4117" spans="3:3" x14ac:dyDescent="0.25">
      <c r="C4117" s="37"/>
    </row>
    <row r="4118" spans="3:3" x14ac:dyDescent="0.25">
      <c r="C4118" s="37"/>
    </row>
    <row r="4119" spans="3:3" x14ac:dyDescent="0.25">
      <c r="C4119" s="37"/>
    </row>
    <row r="4120" spans="3:3" x14ac:dyDescent="0.25">
      <c r="C4120" s="37"/>
    </row>
    <row r="4121" spans="3:3" x14ac:dyDescent="0.25">
      <c r="C4121" s="37"/>
    </row>
    <row r="4122" spans="3:3" x14ac:dyDescent="0.25">
      <c r="C4122" s="37"/>
    </row>
    <row r="4123" spans="3:3" x14ac:dyDescent="0.25">
      <c r="C4123" s="37"/>
    </row>
    <row r="4124" spans="3:3" x14ac:dyDescent="0.25">
      <c r="C4124" s="37"/>
    </row>
    <row r="4125" spans="3:3" x14ac:dyDescent="0.25">
      <c r="C4125" s="37"/>
    </row>
    <row r="4126" spans="3:3" x14ac:dyDescent="0.25">
      <c r="C4126" s="37"/>
    </row>
    <row r="4127" spans="3:3" x14ac:dyDescent="0.25">
      <c r="C4127" s="37"/>
    </row>
    <row r="4128" spans="3:3" x14ac:dyDescent="0.25">
      <c r="C4128" s="37"/>
    </row>
    <row r="4129" spans="3:3" x14ac:dyDescent="0.25">
      <c r="C4129" s="37"/>
    </row>
    <row r="4130" spans="3:3" x14ac:dyDescent="0.25">
      <c r="C4130" s="37"/>
    </row>
    <row r="4131" spans="3:3" x14ac:dyDescent="0.25">
      <c r="C4131" s="37"/>
    </row>
    <row r="4132" spans="3:3" x14ac:dyDescent="0.25">
      <c r="C4132" s="37"/>
    </row>
    <row r="4133" spans="3:3" x14ac:dyDescent="0.25">
      <c r="C4133" s="37"/>
    </row>
    <row r="4134" spans="3:3" x14ac:dyDescent="0.25">
      <c r="C4134" s="37"/>
    </row>
    <row r="4135" spans="3:3" x14ac:dyDescent="0.25">
      <c r="C4135" s="37"/>
    </row>
    <row r="4136" spans="3:3" x14ac:dyDescent="0.25">
      <c r="C4136" s="37"/>
    </row>
    <row r="4137" spans="3:3" x14ac:dyDescent="0.25">
      <c r="C4137" s="37"/>
    </row>
    <row r="4138" spans="3:3" x14ac:dyDescent="0.25">
      <c r="C4138" s="37"/>
    </row>
    <row r="4139" spans="3:3" x14ac:dyDescent="0.25">
      <c r="C4139" s="37"/>
    </row>
    <row r="4140" spans="3:3" x14ac:dyDescent="0.25">
      <c r="C4140" s="37"/>
    </row>
    <row r="4141" spans="3:3" x14ac:dyDescent="0.25">
      <c r="C4141" s="37"/>
    </row>
    <row r="4142" spans="3:3" x14ac:dyDescent="0.25">
      <c r="C4142" s="37"/>
    </row>
    <row r="4143" spans="3:3" x14ac:dyDescent="0.25">
      <c r="C4143" s="37"/>
    </row>
    <row r="4144" spans="3:3" x14ac:dyDescent="0.25">
      <c r="C4144" s="37"/>
    </row>
    <row r="4145" spans="3:3" x14ac:dyDescent="0.25">
      <c r="C4145" s="37"/>
    </row>
    <row r="4146" spans="3:3" x14ac:dyDescent="0.25">
      <c r="C4146" s="37"/>
    </row>
    <row r="4147" spans="3:3" x14ac:dyDescent="0.25">
      <c r="C4147" s="37"/>
    </row>
    <row r="4148" spans="3:3" x14ac:dyDescent="0.25">
      <c r="C4148" s="37"/>
    </row>
    <row r="4149" spans="3:3" x14ac:dyDescent="0.25">
      <c r="C4149" s="37"/>
    </row>
    <row r="4150" spans="3:3" x14ac:dyDescent="0.25">
      <c r="C4150" s="37"/>
    </row>
    <row r="4151" spans="3:3" x14ac:dyDescent="0.25">
      <c r="C4151" s="37"/>
    </row>
    <row r="4152" spans="3:3" x14ac:dyDescent="0.25">
      <c r="C4152" s="37"/>
    </row>
    <row r="4153" spans="3:3" x14ac:dyDescent="0.25">
      <c r="C4153" s="37"/>
    </row>
    <row r="4154" spans="3:3" x14ac:dyDescent="0.25">
      <c r="C4154" s="37"/>
    </row>
    <row r="4155" spans="3:3" x14ac:dyDescent="0.25">
      <c r="C4155" s="37"/>
    </row>
    <row r="4156" spans="3:3" x14ac:dyDescent="0.25">
      <c r="C4156" s="37"/>
    </row>
    <row r="4157" spans="3:3" x14ac:dyDescent="0.25">
      <c r="C4157" s="37"/>
    </row>
    <row r="4158" spans="3:3" x14ac:dyDescent="0.25">
      <c r="C4158" s="37"/>
    </row>
    <row r="4159" spans="3:3" x14ac:dyDescent="0.25">
      <c r="C4159" s="37"/>
    </row>
    <row r="4160" spans="3:3" x14ac:dyDescent="0.25">
      <c r="C4160" s="37"/>
    </row>
    <row r="4161" spans="3:3" x14ac:dyDescent="0.25">
      <c r="C4161" s="37"/>
    </row>
    <row r="4162" spans="3:3" x14ac:dyDescent="0.25">
      <c r="C4162" s="37"/>
    </row>
    <row r="4163" spans="3:3" x14ac:dyDescent="0.25">
      <c r="C4163" s="37"/>
    </row>
    <row r="4164" spans="3:3" x14ac:dyDescent="0.25">
      <c r="C4164" s="37"/>
    </row>
    <row r="4165" spans="3:3" x14ac:dyDescent="0.25">
      <c r="C4165" s="37"/>
    </row>
    <row r="4166" spans="3:3" x14ac:dyDescent="0.25">
      <c r="C4166" s="37"/>
    </row>
    <row r="4167" spans="3:3" x14ac:dyDescent="0.25">
      <c r="C4167" s="37"/>
    </row>
    <row r="4168" spans="3:3" x14ac:dyDescent="0.25">
      <c r="C4168" s="37"/>
    </row>
    <row r="4169" spans="3:3" x14ac:dyDescent="0.25">
      <c r="C4169" s="37"/>
    </row>
    <row r="4170" spans="3:3" x14ac:dyDescent="0.25">
      <c r="C4170" s="37"/>
    </row>
    <row r="4171" spans="3:3" x14ac:dyDescent="0.25">
      <c r="C4171" s="37"/>
    </row>
    <row r="4172" spans="3:3" x14ac:dyDescent="0.25">
      <c r="C4172" s="37"/>
    </row>
    <row r="4173" spans="3:3" x14ac:dyDescent="0.25">
      <c r="C4173" s="37"/>
    </row>
    <row r="4174" spans="3:3" x14ac:dyDescent="0.25">
      <c r="C4174" s="37"/>
    </row>
    <row r="4175" spans="3:3" x14ac:dyDescent="0.25">
      <c r="C4175" s="37"/>
    </row>
    <row r="4176" spans="3:3" x14ac:dyDescent="0.25">
      <c r="C4176" s="37"/>
    </row>
    <row r="4177" spans="3:3" x14ac:dyDescent="0.25">
      <c r="C4177" s="37"/>
    </row>
    <row r="4178" spans="3:3" x14ac:dyDescent="0.25">
      <c r="C4178" s="37"/>
    </row>
    <row r="4179" spans="3:3" x14ac:dyDescent="0.25">
      <c r="C4179" s="37"/>
    </row>
    <row r="4180" spans="3:3" x14ac:dyDescent="0.25">
      <c r="C4180" s="37"/>
    </row>
    <row r="4181" spans="3:3" x14ac:dyDescent="0.25">
      <c r="C4181" s="37"/>
    </row>
    <row r="4182" spans="3:3" x14ac:dyDescent="0.25">
      <c r="C4182" s="37"/>
    </row>
    <row r="4183" spans="3:3" x14ac:dyDescent="0.25">
      <c r="C4183" s="37"/>
    </row>
    <row r="4184" spans="3:3" x14ac:dyDescent="0.25">
      <c r="C4184" s="37"/>
    </row>
    <row r="4185" spans="3:3" x14ac:dyDescent="0.25">
      <c r="C4185" s="37"/>
    </row>
    <row r="4186" spans="3:3" x14ac:dyDescent="0.25">
      <c r="C4186" s="37"/>
    </row>
    <row r="4187" spans="3:3" x14ac:dyDescent="0.25">
      <c r="C4187" s="37"/>
    </row>
    <row r="4188" spans="3:3" x14ac:dyDescent="0.25">
      <c r="C4188" s="37"/>
    </row>
    <row r="4189" spans="3:3" x14ac:dyDescent="0.25">
      <c r="C4189" s="37"/>
    </row>
    <row r="4190" spans="3:3" x14ac:dyDescent="0.25">
      <c r="C4190" s="37"/>
    </row>
    <row r="4191" spans="3:3" x14ac:dyDescent="0.25">
      <c r="C4191" s="37"/>
    </row>
    <row r="4192" spans="3:3" x14ac:dyDescent="0.25">
      <c r="C4192" s="37"/>
    </row>
    <row r="4193" spans="3:3" x14ac:dyDescent="0.25">
      <c r="C4193" s="37"/>
    </row>
    <row r="4194" spans="3:3" x14ac:dyDescent="0.25">
      <c r="C4194" s="37"/>
    </row>
    <row r="4195" spans="3:3" x14ac:dyDescent="0.25">
      <c r="C4195" s="37"/>
    </row>
    <row r="4196" spans="3:3" x14ac:dyDescent="0.25">
      <c r="C4196" s="37"/>
    </row>
    <row r="4197" spans="3:3" x14ac:dyDescent="0.25">
      <c r="C4197" s="37"/>
    </row>
    <row r="4198" spans="3:3" x14ac:dyDescent="0.25">
      <c r="C4198" s="37"/>
    </row>
    <row r="4199" spans="3:3" x14ac:dyDescent="0.25">
      <c r="C4199" s="37"/>
    </row>
    <row r="4200" spans="3:3" x14ac:dyDescent="0.25">
      <c r="C4200" s="37"/>
    </row>
    <row r="4201" spans="3:3" x14ac:dyDescent="0.25">
      <c r="C4201" s="37"/>
    </row>
    <row r="4202" spans="3:3" x14ac:dyDescent="0.25">
      <c r="C4202" s="37"/>
    </row>
    <row r="4203" spans="3:3" x14ac:dyDescent="0.25">
      <c r="C4203" s="37"/>
    </row>
    <row r="4204" spans="3:3" x14ac:dyDescent="0.25">
      <c r="C4204" s="37"/>
    </row>
    <row r="4205" spans="3:3" x14ac:dyDescent="0.25">
      <c r="C4205" s="37"/>
    </row>
    <row r="4206" spans="3:3" x14ac:dyDescent="0.25">
      <c r="C4206" s="37"/>
    </row>
    <row r="4207" spans="3:3" x14ac:dyDescent="0.25">
      <c r="C4207" s="37"/>
    </row>
    <row r="4208" spans="3:3" x14ac:dyDescent="0.25">
      <c r="C4208" s="37"/>
    </row>
    <row r="4209" spans="3:3" x14ac:dyDescent="0.25">
      <c r="C4209" s="37"/>
    </row>
    <row r="4210" spans="3:3" x14ac:dyDescent="0.25">
      <c r="C4210" s="37"/>
    </row>
    <row r="4211" spans="3:3" x14ac:dyDescent="0.25">
      <c r="C4211" s="37"/>
    </row>
    <row r="4212" spans="3:3" x14ac:dyDescent="0.25">
      <c r="C4212" s="37"/>
    </row>
    <row r="4213" spans="3:3" x14ac:dyDescent="0.25">
      <c r="C4213" s="37"/>
    </row>
    <row r="4214" spans="3:3" x14ac:dyDescent="0.25">
      <c r="C4214" s="37"/>
    </row>
    <row r="4215" spans="3:3" x14ac:dyDescent="0.25">
      <c r="C4215" s="37"/>
    </row>
    <row r="4216" spans="3:3" x14ac:dyDescent="0.25">
      <c r="C4216" s="37"/>
    </row>
    <row r="4217" spans="3:3" x14ac:dyDescent="0.25">
      <c r="C4217" s="37"/>
    </row>
    <row r="4218" spans="3:3" x14ac:dyDescent="0.25">
      <c r="C4218" s="37"/>
    </row>
    <row r="4219" spans="3:3" x14ac:dyDescent="0.25">
      <c r="C4219" s="37"/>
    </row>
    <row r="4220" spans="3:3" x14ac:dyDescent="0.25">
      <c r="C4220" s="37"/>
    </row>
    <row r="4221" spans="3:3" x14ac:dyDescent="0.25">
      <c r="C4221" s="37"/>
    </row>
    <row r="4222" spans="3:3" x14ac:dyDescent="0.25">
      <c r="C4222" s="37"/>
    </row>
    <row r="4223" spans="3:3" x14ac:dyDescent="0.25">
      <c r="C4223" s="37"/>
    </row>
    <row r="4224" spans="3:3" x14ac:dyDescent="0.25">
      <c r="C4224" s="37"/>
    </row>
    <row r="4225" spans="3:3" x14ac:dyDescent="0.25">
      <c r="C4225" s="37"/>
    </row>
    <row r="4226" spans="3:3" x14ac:dyDescent="0.25">
      <c r="C4226" s="37"/>
    </row>
    <row r="4227" spans="3:3" x14ac:dyDescent="0.25">
      <c r="C4227" s="37"/>
    </row>
    <row r="4228" spans="3:3" x14ac:dyDescent="0.25">
      <c r="C4228" s="37"/>
    </row>
    <row r="4229" spans="3:3" x14ac:dyDescent="0.25">
      <c r="C4229" s="37"/>
    </row>
    <row r="4230" spans="3:3" x14ac:dyDescent="0.25">
      <c r="C4230" s="37"/>
    </row>
    <row r="4231" spans="3:3" x14ac:dyDescent="0.25">
      <c r="C4231" s="37"/>
    </row>
    <row r="4232" spans="3:3" x14ac:dyDescent="0.25">
      <c r="C4232" s="37"/>
    </row>
    <row r="4233" spans="3:3" x14ac:dyDescent="0.25">
      <c r="C4233" s="37"/>
    </row>
    <row r="4234" spans="3:3" x14ac:dyDescent="0.25">
      <c r="C4234" s="37"/>
    </row>
    <row r="4235" spans="3:3" x14ac:dyDescent="0.25">
      <c r="C4235" s="37"/>
    </row>
    <row r="4236" spans="3:3" x14ac:dyDescent="0.25">
      <c r="C4236" s="37"/>
    </row>
    <row r="4237" spans="3:3" x14ac:dyDescent="0.25">
      <c r="C4237" s="37"/>
    </row>
    <row r="4238" spans="3:3" x14ac:dyDescent="0.25">
      <c r="C4238" s="37"/>
    </row>
    <row r="4239" spans="3:3" x14ac:dyDescent="0.25">
      <c r="C4239" s="37"/>
    </row>
    <row r="4240" spans="3:3" x14ac:dyDescent="0.25">
      <c r="C4240" s="37"/>
    </row>
    <row r="4241" spans="3:3" x14ac:dyDescent="0.25">
      <c r="C4241" s="37"/>
    </row>
    <row r="4242" spans="3:3" x14ac:dyDescent="0.25">
      <c r="C4242" s="37"/>
    </row>
    <row r="4243" spans="3:3" x14ac:dyDescent="0.25">
      <c r="C4243" s="37"/>
    </row>
    <row r="4244" spans="3:3" x14ac:dyDescent="0.25">
      <c r="C4244" s="37"/>
    </row>
    <row r="4245" spans="3:3" x14ac:dyDescent="0.25">
      <c r="C4245" s="37"/>
    </row>
    <row r="4246" spans="3:3" x14ac:dyDescent="0.25">
      <c r="C4246" s="37"/>
    </row>
    <row r="4247" spans="3:3" x14ac:dyDescent="0.25">
      <c r="C4247" s="37"/>
    </row>
    <row r="4248" spans="3:3" x14ac:dyDescent="0.25">
      <c r="C4248" s="37"/>
    </row>
    <row r="4249" spans="3:3" x14ac:dyDescent="0.25">
      <c r="C4249" s="37"/>
    </row>
    <row r="4250" spans="3:3" x14ac:dyDescent="0.25">
      <c r="C4250" s="37"/>
    </row>
    <row r="4251" spans="3:3" x14ac:dyDescent="0.25">
      <c r="C4251" s="37"/>
    </row>
    <row r="4252" spans="3:3" x14ac:dyDescent="0.25">
      <c r="C4252" s="37"/>
    </row>
    <row r="4253" spans="3:3" x14ac:dyDescent="0.25">
      <c r="C4253" s="37"/>
    </row>
    <row r="4254" spans="3:3" x14ac:dyDescent="0.25">
      <c r="C4254" s="37"/>
    </row>
    <row r="4255" spans="3:3" x14ac:dyDescent="0.25">
      <c r="C4255" s="37"/>
    </row>
    <row r="4256" spans="3:3" x14ac:dyDescent="0.25">
      <c r="C4256" s="37"/>
    </row>
    <row r="4257" spans="3:3" x14ac:dyDescent="0.25">
      <c r="C4257" s="37"/>
    </row>
    <row r="4258" spans="3:3" x14ac:dyDescent="0.25">
      <c r="C4258" s="37"/>
    </row>
    <row r="4259" spans="3:3" x14ac:dyDescent="0.25">
      <c r="C4259" s="37"/>
    </row>
    <row r="4260" spans="3:3" x14ac:dyDescent="0.25">
      <c r="C4260" s="37"/>
    </row>
    <row r="4261" spans="3:3" x14ac:dyDescent="0.25">
      <c r="C4261" s="37"/>
    </row>
    <row r="4262" spans="3:3" x14ac:dyDescent="0.25">
      <c r="C4262" s="37"/>
    </row>
    <row r="4263" spans="3:3" x14ac:dyDescent="0.25">
      <c r="C4263" s="37"/>
    </row>
    <row r="4264" spans="3:3" x14ac:dyDescent="0.25">
      <c r="C4264" s="37"/>
    </row>
    <row r="4265" spans="3:3" x14ac:dyDescent="0.25">
      <c r="C4265" s="37"/>
    </row>
    <row r="4266" spans="3:3" x14ac:dyDescent="0.25">
      <c r="C4266" s="37"/>
    </row>
    <row r="4267" spans="3:3" x14ac:dyDescent="0.25">
      <c r="C4267" s="37"/>
    </row>
    <row r="4268" spans="3:3" x14ac:dyDescent="0.25">
      <c r="C4268" s="37"/>
    </row>
    <row r="4269" spans="3:3" x14ac:dyDescent="0.25">
      <c r="C4269" s="37"/>
    </row>
    <row r="4270" spans="3:3" x14ac:dyDescent="0.25">
      <c r="C4270" s="37"/>
    </row>
    <row r="4271" spans="3:3" x14ac:dyDescent="0.25">
      <c r="C4271" s="37"/>
    </row>
    <row r="4272" spans="3:3" x14ac:dyDescent="0.25">
      <c r="C4272" s="37"/>
    </row>
    <row r="4273" spans="3:3" x14ac:dyDescent="0.25">
      <c r="C4273" s="37"/>
    </row>
    <row r="4274" spans="3:3" x14ac:dyDescent="0.25">
      <c r="C4274" s="37"/>
    </row>
    <row r="4275" spans="3:3" x14ac:dyDescent="0.25">
      <c r="C4275" s="37"/>
    </row>
    <row r="4276" spans="3:3" x14ac:dyDescent="0.25">
      <c r="C4276" s="37"/>
    </row>
    <row r="4277" spans="3:3" x14ac:dyDescent="0.25">
      <c r="C4277" s="37"/>
    </row>
    <row r="4278" spans="3:3" x14ac:dyDescent="0.25">
      <c r="C4278" s="37"/>
    </row>
    <row r="4279" spans="3:3" x14ac:dyDescent="0.25">
      <c r="C4279" s="37"/>
    </row>
    <row r="4280" spans="3:3" x14ac:dyDescent="0.25">
      <c r="C4280" s="37"/>
    </row>
    <row r="4281" spans="3:3" x14ac:dyDescent="0.25">
      <c r="C4281" s="37"/>
    </row>
    <row r="4282" spans="3:3" x14ac:dyDescent="0.25">
      <c r="C4282" s="37"/>
    </row>
    <row r="4283" spans="3:3" x14ac:dyDescent="0.25">
      <c r="C4283" s="37"/>
    </row>
    <row r="4284" spans="3:3" x14ac:dyDescent="0.25">
      <c r="C4284" s="37"/>
    </row>
    <row r="4285" spans="3:3" x14ac:dyDescent="0.25">
      <c r="C4285" s="37"/>
    </row>
    <row r="4286" spans="3:3" x14ac:dyDescent="0.25">
      <c r="C4286" s="37"/>
    </row>
    <row r="4287" spans="3:3" x14ac:dyDescent="0.25">
      <c r="C4287" s="37"/>
    </row>
    <row r="4288" spans="3:3" x14ac:dyDescent="0.25">
      <c r="C4288" s="37"/>
    </row>
    <row r="4289" spans="3:3" x14ac:dyDescent="0.25">
      <c r="C4289" s="37"/>
    </row>
    <row r="4290" spans="3:3" x14ac:dyDescent="0.25">
      <c r="C4290" s="37"/>
    </row>
    <row r="4291" spans="3:3" x14ac:dyDescent="0.25">
      <c r="C4291" s="37"/>
    </row>
    <row r="4292" spans="3:3" x14ac:dyDescent="0.25">
      <c r="C4292" s="37"/>
    </row>
    <row r="4293" spans="3:3" x14ac:dyDescent="0.25">
      <c r="C4293" s="37"/>
    </row>
    <row r="4294" spans="3:3" x14ac:dyDescent="0.25">
      <c r="C4294" s="37"/>
    </row>
    <row r="4295" spans="3:3" x14ac:dyDescent="0.25">
      <c r="C4295" s="37"/>
    </row>
    <row r="4296" spans="3:3" x14ac:dyDescent="0.25">
      <c r="C4296" s="37"/>
    </row>
    <row r="4297" spans="3:3" x14ac:dyDescent="0.25">
      <c r="C4297" s="37"/>
    </row>
    <row r="4298" spans="3:3" x14ac:dyDescent="0.25">
      <c r="C4298" s="37"/>
    </row>
    <row r="4299" spans="3:3" x14ac:dyDescent="0.25">
      <c r="C4299" s="37"/>
    </row>
    <row r="4300" spans="3:3" x14ac:dyDescent="0.25">
      <c r="C4300" s="37"/>
    </row>
    <row r="4301" spans="3:3" x14ac:dyDescent="0.25">
      <c r="C4301" s="37"/>
    </row>
    <row r="4302" spans="3:3" x14ac:dyDescent="0.25">
      <c r="C4302" s="37"/>
    </row>
    <row r="4303" spans="3:3" x14ac:dyDescent="0.25">
      <c r="C4303" s="37"/>
    </row>
    <row r="4304" spans="3:3" x14ac:dyDescent="0.25">
      <c r="C4304" s="37"/>
    </row>
    <row r="4305" spans="3:3" x14ac:dyDescent="0.25">
      <c r="C4305" s="37"/>
    </row>
    <row r="4306" spans="3:3" x14ac:dyDescent="0.25">
      <c r="C4306" s="37"/>
    </row>
    <row r="4307" spans="3:3" x14ac:dyDescent="0.25">
      <c r="C4307" s="37"/>
    </row>
    <row r="4308" spans="3:3" x14ac:dyDescent="0.25">
      <c r="C4308" s="37"/>
    </row>
    <row r="4309" spans="3:3" x14ac:dyDescent="0.25">
      <c r="C4309" s="37"/>
    </row>
    <row r="4310" spans="3:3" x14ac:dyDescent="0.25">
      <c r="C4310" s="37"/>
    </row>
    <row r="4311" spans="3:3" x14ac:dyDescent="0.25">
      <c r="C4311" s="37"/>
    </row>
    <row r="4312" spans="3:3" x14ac:dyDescent="0.25">
      <c r="C4312" s="37"/>
    </row>
    <row r="4313" spans="3:3" x14ac:dyDescent="0.25">
      <c r="C4313" s="37"/>
    </row>
    <row r="4314" spans="3:3" x14ac:dyDescent="0.25">
      <c r="C4314" s="37"/>
    </row>
    <row r="4315" spans="3:3" x14ac:dyDescent="0.25">
      <c r="C4315" s="37"/>
    </row>
    <row r="4316" spans="3:3" x14ac:dyDescent="0.25">
      <c r="C4316" s="37"/>
    </row>
    <row r="4317" spans="3:3" x14ac:dyDescent="0.25">
      <c r="C4317" s="37"/>
    </row>
    <row r="4318" spans="3:3" x14ac:dyDescent="0.25">
      <c r="C4318" s="37"/>
    </row>
    <row r="4319" spans="3:3" x14ac:dyDescent="0.25">
      <c r="C4319" s="37"/>
    </row>
    <row r="4320" spans="3:3" x14ac:dyDescent="0.25">
      <c r="C4320" s="37"/>
    </row>
    <row r="4321" spans="3:3" x14ac:dyDescent="0.25">
      <c r="C4321" s="37"/>
    </row>
    <row r="4322" spans="3:3" x14ac:dyDescent="0.25">
      <c r="C4322" s="37"/>
    </row>
    <row r="4323" spans="3:3" x14ac:dyDescent="0.25">
      <c r="C4323" s="37"/>
    </row>
    <row r="4324" spans="3:3" x14ac:dyDescent="0.25">
      <c r="C4324" s="37"/>
    </row>
    <row r="4325" spans="3:3" x14ac:dyDescent="0.25">
      <c r="C4325" s="37"/>
    </row>
    <row r="4326" spans="3:3" x14ac:dyDescent="0.25">
      <c r="C4326" s="37"/>
    </row>
    <row r="4327" spans="3:3" x14ac:dyDescent="0.25">
      <c r="C4327" s="37"/>
    </row>
    <row r="4328" spans="3:3" x14ac:dyDescent="0.25">
      <c r="C4328" s="37"/>
    </row>
    <row r="4329" spans="3:3" x14ac:dyDescent="0.25">
      <c r="C4329" s="37"/>
    </row>
    <row r="4330" spans="3:3" x14ac:dyDescent="0.25">
      <c r="C4330" s="37"/>
    </row>
    <row r="4331" spans="3:3" x14ac:dyDescent="0.25">
      <c r="C4331" s="37"/>
    </row>
    <row r="4332" spans="3:3" x14ac:dyDescent="0.25">
      <c r="C4332" s="37"/>
    </row>
    <row r="4333" spans="3:3" x14ac:dyDescent="0.25">
      <c r="C4333" s="37"/>
    </row>
    <row r="4334" spans="3:3" x14ac:dyDescent="0.25">
      <c r="C4334" s="37"/>
    </row>
    <row r="4335" spans="3:3" x14ac:dyDescent="0.25">
      <c r="C4335" s="37"/>
    </row>
    <row r="4336" spans="3:3" x14ac:dyDescent="0.25">
      <c r="C4336" s="37"/>
    </row>
    <row r="4337" spans="3:3" x14ac:dyDescent="0.25">
      <c r="C4337" s="37"/>
    </row>
    <row r="4338" spans="3:3" x14ac:dyDescent="0.25">
      <c r="C4338" s="37"/>
    </row>
    <row r="4339" spans="3:3" x14ac:dyDescent="0.25">
      <c r="C4339" s="37"/>
    </row>
    <row r="4340" spans="3:3" x14ac:dyDescent="0.25">
      <c r="C4340" s="37"/>
    </row>
    <row r="4341" spans="3:3" x14ac:dyDescent="0.25">
      <c r="C4341" s="37"/>
    </row>
    <row r="4342" spans="3:3" x14ac:dyDescent="0.25">
      <c r="C4342" s="37"/>
    </row>
    <row r="4343" spans="3:3" x14ac:dyDescent="0.25">
      <c r="C4343" s="37"/>
    </row>
    <row r="4344" spans="3:3" x14ac:dyDescent="0.25">
      <c r="C4344" s="37"/>
    </row>
    <row r="4345" spans="3:3" x14ac:dyDescent="0.25">
      <c r="C4345" s="37"/>
    </row>
    <row r="4346" spans="3:3" x14ac:dyDescent="0.25">
      <c r="C4346" s="37"/>
    </row>
    <row r="4347" spans="3:3" x14ac:dyDescent="0.25">
      <c r="C4347" s="37"/>
    </row>
    <row r="4348" spans="3:3" x14ac:dyDescent="0.25">
      <c r="C4348" s="37"/>
    </row>
    <row r="4349" spans="3:3" x14ac:dyDescent="0.25">
      <c r="C4349" s="37"/>
    </row>
    <row r="4350" spans="3:3" x14ac:dyDescent="0.25">
      <c r="C4350" s="37"/>
    </row>
    <row r="4351" spans="3:3" x14ac:dyDescent="0.25">
      <c r="C4351" s="37"/>
    </row>
    <row r="4352" spans="3:3" x14ac:dyDescent="0.25">
      <c r="C4352" s="37"/>
    </row>
    <row r="4353" spans="3:3" x14ac:dyDescent="0.25">
      <c r="C4353" s="37"/>
    </row>
    <row r="4354" spans="3:3" x14ac:dyDescent="0.25">
      <c r="C4354" s="37"/>
    </row>
    <row r="4355" spans="3:3" x14ac:dyDescent="0.25">
      <c r="C4355" s="37"/>
    </row>
    <row r="4356" spans="3:3" x14ac:dyDescent="0.25">
      <c r="C4356" s="37"/>
    </row>
    <row r="4357" spans="3:3" x14ac:dyDescent="0.25">
      <c r="C4357" s="37"/>
    </row>
    <row r="4358" spans="3:3" x14ac:dyDescent="0.25">
      <c r="C4358" s="37"/>
    </row>
    <row r="4359" spans="3:3" x14ac:dyDescent="0.25">
      <c r="C4359" s="37"/>
    </row>
    <row r="4360" spans="3:3" x14ac:dyDescent="0.25">
      <c r="C4360" s="37"/>
    </row>
    <row r="4361" spans="3:3" x14ac:dyDescent="0.25">
      <c r="C4361" s="37"/>
    </row>
    <row r="4362" spans="3:3" x14ac:dyDescent="0.25">
      <c r="C4362" s="37"/>
    </row>
    <row r="4363" spans="3:3" x14ac:dyDescent="0.25">
      <c r="C4363" s="37"/>
    </row>
    <row r="4364" spans="3:3" x14ac:dyDescent="0.25">
      <c r="C4364" s="37"/>
    </row>
    <row r="4365" spans="3:3" x14ac:dyDescent="0.25">
      <c r="C4365" s="37"/>
    </row>
    <row r="4366" spans="3:3" x14ac:dyDescent="0.25">
      <c r="C4366" s="37"/>
    </row>
    <row r="4367" spans="3:3" x14ac:dyDescent="0.25">
      <c r="C4367" s="37"/>
    </row>
    <row r="4368" spans="3:3" x14ac:dyDescent="0.25">
      <c r="C4368" s="37"/>
    </row>
    <row r="4369" spans="3:3" x14ac:dyDescent="0.25">
      <c r="C4369" s="37"/>
    </row>
    <row r="4370" spans="3:3" x14ac:dyDescent="0.25">
      <c r="C4370" s="37"/>
    </row>
    <row r="4371" spans="3:3" x14ac:dyDescent="0.25">
      <c r="C4371" s="37"/>
    </row>
    <row r="4372" spans="3:3" x14ac:dyDescent="0.25">
      <c r="C4372" s="37"/>
    </row>
    <row r="4373" spans="3:3" x14ac:dyDescent="0.25">
      <c r="C4373" s="37"/>
    </row>
    <row r="4374" spans="3:3" x14ac:dyDescent="0.25">
      <c r="C4374" s="37"/>
    </row>
    <row r="4375" spans="3:3" x14ac:dyDescent="0.25">
      <c r="C4375" s="37"/>
    </row>
    <row r="4376" spans="3:3" x14ac:dyDescent="0.25">
      <c r="C4376" s="37"/>
    </row>
    <row r="4377" spans="3:3" x14ac:dyDescent="0.25">
      <c r="C4377" s="37"/>
    </row>
    <row r="4378" spans="3:3" x14ac:dyDescent="0.25">
      <c r="C4378" s="37"/>
    </row>
    <row r="4379" spans="3:3" x14ac:dyDescent="0.25">
      <c r="C4379" s="37"/>
    </row>
    <row r="4380" spans="3:3" x14ac:dyDescent="0.25">
      <c r="C4380" s="37"/>
    </row>
    <row r="4381" spans="3:3" x14ac:dyDescent="0.25">
      <c r="C4381" s="37"/>
    </row>
    <row r="4382" spans="3:3" x14ac:dyDescent="0.25">
      <c r="C4382" s="37"/>
    </row>
    <row r="4383" spans="3:3" x14ac:dyDescent="0.25">
      <c r="C4383" s="37"/>
    </row>
    <row r="4384" spans="3:3" x14ac:dyDescent="0.25">
      <c r="C4384" s="37"/>
    </row>
    <row r="4385" spans="3:3" x14ac:dyDescent="0.25">
      <c r="C4385" s="37"/>
    </row>
    <row r="4386" spans="3:3" x14ac:dyDescent="0.25">
      <c r="C4386" s="37"/>
    </row>
    <row r="4387" spans="3:3" x14ac:dyDescent="0.25">
      <c r="C4387" s="37"/>
    </row>
    <row r="4388" spans="3:3" x14ac:dyDescent="0.25">
      <c r="C4388" s="37"/>
    </row>
    <row r="4389" spans="3:3" x14ac:dyDescent="0.25">
      <c r="C4389" s="37"/>
    </row>
    <row r="4390" spans="3:3" x14ac:dyDescent="0.25">
      <c r="C4390" s="37"/>
    </row>
    <row r="4391" spans="3:3" x14ac:dyDescent="0.25">
      <c r="C4391" s="37"/>
    </row>
    <row r="4392" spans="3:3" x14ac:dyDescent="0.25">
      <c r="C4392" s="37"/>
    </row>
    <row r="4393" spans="3:3" x14ac:dyDescent="0.25">
      <c r="C4393" s="37"/>
    </row>
    <row r="4394" spans="3:3" x14ac:dyDescent="0.25">
      <c r="C4394" s="37"/>
    </row>
    <row r="4395" spans="3:3" x14ac:dyDescent="0.25">
      <c r="C4395" s="37"/>
    </row>
    <row r="4396" spans="3:3" x14ac:dyDescent="0.25">
      <c r="C4396" s="37"/>
    </row>
    <row r="4397" spans="3:3" x14ac:dyDescent="0.25">
      <c r="C4397" s="37"/>
    </row>
    <row r="4398" spans="3:3" x14ac:dyDescent="0.25">
      <c r="C4398" s="37"/>
    </row>
    <row r="4399" spans="3:3" x14ac:dyDescent="0.25">
      <c r="C4399" s="37"/>
    </row>
    <row r="4400" spans="3:3" x14ac:dyDescent="0.25">
      <c r="C4400" s="37"/>
    </row>
    <row r="4401" spans="3:3" x14ac:dyDescent="0.25">
      <c r="C4401" s="37"/>
    </row>
    <row r="4402" spans="3:3" x14ac:dyDescent="0.25">
      <c r="C4402" s="37"/>
    </row>
    <row r="4403" spans="3:3" x14ac:dyDescent="0.25">
      <c r="C4403" s="37"/>
    </row>
    <row r="4404" spans="3:3" x14ac:dyDescent="0.25">
      <c r="C4404" s="37"/>
    </row>
    <row r="4405" spans="3:3" x14ac:dyDescent="0.25">
      <c r="C4405" s="37"/>
    </row>
    <row r="4406" spans="3:3" x14ac:dyDescent="0.25">
      <c r="C4406" s="37"/>
    </row>
    <row r="4407" spans="3:3" x14ac:dyDescent="0.25">
      <c r="C4407" s="37"/>
    </row>
    <row r="4408" spans="3:3" x14ac:dyDescent="0.25">
      <c r="C4408" s="37"/>
    </row>
    <row r="4409" spans="3:3" x14ac:dyDescent="0.25">
      <c r="C4409" s="37"/>
    </row>
    <row r="4410" spans="3:3" x14ac:dyDescent="0.25">
      <c r="C4410" s="37"/>
    </row>
    <row r="4411" spans="3:3" x14ac:dyDescent="0.25">
      <c r="C4411" s="37"/>
    </row>
    <row r="4412" spans="3:3" x14ac:dyDescent="0.25">
      <c r="C4412" s="37"/>
    </row>
    <row r="4413" spans="3:3" x14ac:dyDescent="0.25">
      <c r="C4413" s="37"/>
    </row>
    <row r="4414" spans="3:3" x14ac:dyDescent="0.25">
      <c r="C4414" s="37"/>
    </row>
    <row r="4415" spans="3:3" x14ac:dyDescent="0.25">
      <c r="C4415" s="37"/>
    </row>
    <row r="4416" spans="3:3" x14ac:dyDescent="0.25">
      <c r="C4416" s="37"/>
    </row>
    <row r="4417" spans="3:3" x14ac:dyDescent="0.25">
      <c r="C4417" s="37"/>
    </row>
    <row r="4418" spans="3:3" x14ac:dyDescent="0.25">
      <c r="C4418" s="37"/>
    </row>
    <row r="4419" spans="3:3" x14ac:dyDescent="0.25">
      <c r="C4419" s="37"/>
    </row>
    <row r="4420" spans="3:3" x14ac:dyDescent="0.25">
      <c r="C4420" s="37"/>
    </row>
    <row r="4421" spans="3:3" x14ac:dyDescent="0.25">
      <c r="C4421" s="37"/>
    </row>
    <row r="4422" spans="3:3" x14ac:dyDescent="0.25">
      <c r="C4422" s="37"/>
    </row>
    <row r="4423" spans="3:3" x14ac:dyDescent="0.25">
      <c r="C4423" s="37"/>
    </row>
    <row r="4424" spans="3:3" x14ac:dyDescent="0.25">
      <c r="C4424" s="37"/>
    </row>
    <row r="4425" spans="3:3" x14ac:dyDescent="0.25">
      <c r="C4425" s="37"/>
    </row>
    <row r="4426" spans="3:3" x14ac:dyDescent="0.25">
      <c r="C4426" s="37"/>
    </row>
    <row r="4427" spans="3:3" x14ac:dyDescent="0.25">
      <c r="C4427" s="37"/>
    </row>
    <row r="4428" spans="3:3" x14ac:dyDescent="0.25">
      <c r="C4428" s="37"/>
    </row>
    <row r="4429" spans="3:3" x14ac:dyDescent="0.25">
      <c r="C4429" s="37"/>
    </row>
    <row r="4430" spans="3:3" x14ac:dyDescent="0.25">
      <c r="C4430" s="37"/>
    </row>
    <row r="4431" spans="3:3" x14ac:dyDescent="0.25">
      <c r="C4431" s="37"/>
    </row>
    <row r="4432" spans="3:3" x14ac:dyDescent="0.25">
      <c r="C4432" s="37"/>
    </row>
    <row r="4433" spans="3:3" x14ac:dyDescent="0.25">
      <c r="C4433" s="37"/>
    </row>
    <row r="4434" spans="3:3" x14ac:dyDescent="0.25">
      <c r="C4434" s="37"/>
    </row>
    <row r="4435" spans="3:3" x14ac:dyDescent="0.25">
      <c r="C4435" s="37"/>
    </row>
    <row r="4436" spans="3:3" x14ac:dyDescent="0.25">
      <c r="C4436" s="37"/>
    </row>
    <row r="4437" spans="3:3" x14ac:dyDescent="0.25">
      <c r="C4437" s="37"/>
    </row>
    <row r="4438" spans="3:3" x14ac:dyDescent="0.25">
      <c r="C4438" s="37"/>
    </row>
    <row r="4439" spans="3:3" x14ac:dyDescent="0.25">
      <c r="C4439" s="37"/>
    </row>
    <row r="4440" spans="3:3" x14ac:dyDescent="0.25">
      <c r="C4440" s="37"/>
    </row>
    <row r="4441" spans="3:3" x14ac:dyDescent="0.25">
      <c r="C4441" s="37"/>
    </row>
    <row r="4442" spans="3:3" x14ac:dyDescent="0.25">
      <c r="C4442" s="37"/>
    </row>
    <row r="4443" spans="3:3" x14ac:dyDescent="0.25">
      <c r="C4443" s="37"/>
    </row>
    <row r="4444" spans="3:3" x14ac:dyDescent="0.25">
      <c r="C4444" s="37"/>
    </row>
    <row r="4445" spans="3:3" x14ac:dyDescent="0.25">
      <c r="C4445" s="37"/>
    </row>
    <row r="4446" spans="3:3" x14ac:dyDescent="0.25">
      <c r="C4446" s="37"/>
    </row>
    <row r="4447" spans="3:3" x14ac:dyDescent="0.25">
      <c r="C4447" s="37"/>
    </row>
    <row r="4448" spans="3:3" x14ac:dyDescent="0.25">
      <c r="C4448" s="37"/>
    </row>
    <row r="4449" spans="3:3" x14ac:dyDescent="0.25">
      <c r="C4449" s="37"/>
    </row>
    <row r="4450" spans="3:3" x14ac:dyDescent="0.25">
      <c r="C4450" s="37"/>
    </row>
    <row r="4451" spans="3:3" x14ac:dyDescent="0.25">
      <c r="C4451" s="37"/>
    </row>
    <row r="4452" spans="3:3" x14ac:dyDescent="0.25">
      <c r="C4452" s="37"/>
    </row>
    <row r="4453" spans="3:3" x14ac:dyDescent="0.25">
      <c r="C4453" s="37"/>
    </row>
    <row r="4454" spans="3:3" x14ac:dyDescent="0.25">
      <c r="C4454" s="37"/>
    </row>
    <row r="4455" spans="3:3" x14ac:dyDescent="0.25">
      <c r="C4455" s="37"/>
    </row>
    <row r="4456" spans="3:3" x14ac:dyDescent="0.25">
      <c r="C4456" s="37"/>
    </row>
    <row r="4457" spans="3:3" x14ac:dyDescent="0.25">
      <c r="C4457" s="37"/>
    </row>
    <row r="4458" spans="3:3" x14ac:dyDescent="0.25">
      <c r="C4458" s="37"/>
    </row>
    <row r="4459" spans="3:3" x14ac:dyDescent="0.25">
      <c r="C4459" s="37"/>
    </row>
    <row r="4460" spans="3:3" x14ac:dyDescent="0.25">
      <c r="C4460" s="37"/>
    </row>
    <row r="4461" spans="3:3" x14ac:dyDescent="0.25">
      <c r="C4461" s="37"/>
    </row>
    <row r="4462" spans="3:3" x14ac:dyDescent="0.25">
      <c r="C4462" s="37"/>
    </row>
    <row r="4463" spans="3:3" x14ac:dyDescent="0.25">
      <c r="C4463" s="37"/>
    </row>
    <row r="4464" spans="3:3" x14ac:dyDescent="0.25">
      <c r="C4464" s="37"/>
    </row>
    <row r="4465" spans="3:3" x14ac:dyDescent="0.25">
      <c r="C4465" s="37"/>
    </row>
    <row r="4466" spans="3:3" x14ac:dyDescent="0.25">
      <c r="C4466" s="37"/>
    </row>
    <row r="4467" spans="3:3" x14ac:dyDescent="0.25">
      <c r="C4467" s="37"/>
    </row>
    <row r="4468" spans="3:3" x14ac:dyDescent="0.25">
      <c r="C4468" s="37"/>
    </row>
    <row r="4469" spans="3:3" x14ac:dyDescent="0.25">
      <c r="C4469" s="37"/>
    </row>
    <row r="4470" spans="3:3" x14ac:dyDescent="0.25">
      <c r="C4470" s="37"/>
    </row>
    <row r="4471" spans="3:3" x14ac:dyDescent="0.25">
      <c r="C4471" s="37"/>
    </row>
    <row r="4472" spans="3:3" x14ac:dyDescent="0.25">
      <c r="C4472" s="37"/>
    </row>
    <row r="4473" spans="3:3" x14ac:dyDescent="0.25">
      <c r="C4473" s="37"/>
    </row>
    <row r="4474" spans="3:3" x14ac:dyDescent="0.25">
      <c r="C4474" s="37"/>
    </row>
    <row r="4475" spans="3:3" x14ac:dyDescent="0.25">
      <c r="C4475" s="37"/>
    </row>
    <row r="4476" spans="3:3" x14ac:dyDescent="0.25">
      <c r="C4476" s="37"/>
    </row>
    <row r="4477" spans="3:3" x14ac:dyDescent="0.25">
      <c r="C4477" s="37"/>
    </row>
    <row r="4478" spans="3:3" x14ac:dyDescent="0.25">
      <c r="C4478" s="37"/>
    </row>
    <row r="4479" spans="3:3" x14ac:dyDescent="0.25">
      <c r="C4479" s="37"/>
    </row>
    <row r="4480" spans="3:3" x14ac:dyDescent="0.25">
      <c r="C4480" s="37"/>
    </row>
    <row r="4481" spans="3:3" x14ac:dyDescent="0.25">
      <c r="C4481" s="37"/>
    </row>
    <row r="4482" spans="3:3" x14ac:dyDescent="0.25">
      <c r="C4482" s="37"/>
    </row>
    <row r="4483" spans="3:3" x14ac:dyDescent="0.25">
      <c r="C4483" s="37"/>
    </row>
    <row r="4484" spans="3:3" x14ac:dyDescent="0.25">
      <c r="C4484" s="37"/>
    </row>
    <row r="4485" spans="3:3" x14ac:dyDescent="0.25">
      <c r="C4485" s="37"/>
    </row>
    <row r="4486" spans="3:3" x14ac:dyDescent="0.25">
      <c r="C4486" s="37"/>
    </row>
    <row r="4487" spans="3:3" x14ac:dyDescent="0.25">
      <c r="C4487" s="37"/>
    </row>
    <row r="4488" spans="3:3" x14ac:dyDescent="0.25">
      <c r="C4488" s="37"/>
    </row>
    <row r="4489" spans="3:3" x14ac:dyDescent="0.25">
      <c r="C4489" s="37"/>
    </row>
    <row r="4490" spans="3:3" x14ac:dyDescent="0.25">
      <c r="C4490" s="37"/>
    </row>
    <row r="4491" spans="3:3" x14ac:dyDescent="0.25">
      <c r="C4491" s="37"/>
    </row>
    <row r="4492" spans="3:3" x14ac:dyDescent="0.25">
      <c r="C4492" s="37"/>
    </row>
    <row r="4493" spans="3:3" x14ac:dyDescent="0.25">
      <c r="C4493" s="37"/>
    </row>
    <row r="4494" spans="3:3" x14ac:dyDescent="0.25">
      <c r="C4494" s="37"/>
    </row>
    <row r="4495" spans="3:3" x14ac:dyDescent="0.25">
      <c r="C4495" s="37"/>
    </row>
    <row r="4496" spans="3:3" x14ac:dyDescent="0.25">
      <c r="C4496" s="37"/>
    </row>
    <row r="4497" spans="3:3" x14ac:dyDescent="0.25">
      <c r="C4497" s="37"/>
    </row>
    <row r="4498" spans="3:3" x14ac:dyDescent="0.25">
      <c r="C4498" s="37"/>
    </row>
    <row r="4499" spans="3:3" x14ac:dyDescent="0.25">
      <c r="C4499" s="37"/>
    </row>
    <row r="4500" spans="3:3" x14ac:dyDescent="0.25">
      <c r="C4500" s="37"/>
    </row>
    <row r="4501" spans="3:3" x14ac:dyDescent="0.25">
      <c r="C4501" s="37"/>
    </row>
    <row r="4502" spans="3:3" x14ac:dyDescent="0.25">
      <c r="C4502" s="37"/>
    </row>
    <row r="4503" spans="3:3" x14ac:dyDescent="0.25">
      <c r="C4503" s="37"/>
    </row>
    <row r="4504" spans="3:3" x14ac:dyDescent="0.25">
      <c r="C4504" s="37"/>
    </row>
    <row r="4505" spans="3:3" x14ac:dyDescent="0.25">
      <c r="C4505" s="37"/>
    </row>
    <row r="4506" spans="3:3" x14ac:dyDescent="0.25">
      <c r="C4506" s="37"/>
    </row>
    <row r="4507" spans="3:3" x14ac:dyDescent="0.25">
      <c r="C4507" s="37"/>
    </row>
    <row r="4508" spans="3:3" x14ac:dyDescent="0.25">
      <c r="C4508" s="37"/>
    </row>
    <row r="4509" spans="3:3" x14ac:dyDescent="0.25">
      <c r="C4509" s="37"/>
    </row>
    <row r="4510" spans="3:3" x14ac:dyDescent="0.25">
      <c r="C4510" s="37"/>
    </row>
    <row r="4511" spans="3:3" x14ac:dyDescent="0.25">
      <c r="C4511" s="37"/>
    </row>
    <row r="4512" spans="3:3" x14ac:dyDescent="0.25">
      <c r="C4512" s="37"/>
    </row>
    <row r="4513" spans="3:3" x14ac:dyDescent="0.25">
      <c r="C4513" s="37"/>
    </row>
    <row r="4514" spans="3:3" x14ac:dyDescent="0.25">
      <c r="C4514" s="37"/>
    </row>
    <row r="4515" spans="3:3" x14ac:dyDescent="0.25">
      <c r="C4515" s="37"/>
    </row>
    <row r="4516" spans="3:3" x14ac:dyDescent="0.25">
      <c r="C4516" s="37"/>
    </row>
    <row r="4517" spans="3:3" x14ac:dyDescent="0.25">
      <c r="C4517" s="37"/>
    </row>
    <row r="4518" spans="3:3" x14ac:dyDescent="0.25">
      <c r="C4518" s="37"/>
    </row>
    <row r="4519" spans="3:3" x14ac:dyDescent="0.25">
      <c r="C4519" s="37"/>
    </row>
    <row r="4520" spans="3:3" x14ac:dyDescent="0.25">
      <c r="C4520" s="37"/>
    </row>
    <row r="4521" spans="3:3" x14ac:dyDescent="0.25">
      <c r="C4521" s="37"/>
    </row>
    <row r="4522" spans="3:3" x14ac:dyDescent="0.25">
      <c r="C4522" s="37"/>
    </row>
    <row r="4523" spans="3:3" x14ac:dyDescent="0.25">
      <c r="C4523" s="37"/>
    </row>
    <row r="4524" spans="3:3" x14ac:dyDescent="0.25">
      <c r="C4524" s="37"/>
    </row>
    <row r="4525" spans="3:3" x14ac:dyDescent="0.25">
      <c r="C4525" s="37"/>
    </row>
    <row r="4526" spans="3:3" x14ac:dyDescent="0.25">
      <c r="C4526" s="37"/>
    </row>
    <row r="4527" spans="3:3" x14ac:dyDescent="0.25">
      <c r="C4527" s="37"/>
    </row>
    <row r="4528" spans="3:3" x14ac:dyDescent="0.25">
      <c r="C4528" s="37"/>
    </row>
    <row r="4529" spans="3:3" x14ac:dyDescent="0.25">
      <c r="C4529" s="37"/>
    </row>
    <row r="4530" spans="3:3" x14ac:dyDescent="0.25">
      <c r="C4530" s="37"/>
    </row>
    <row r="4531" spans="3:3" x14ac:dyDescent="0.25">
      <c r="C4531" s="37"/>
    </row>
    <row r="4532" spans="3:3" x14ac:dyDescent="0.25">
      <c r="C4532" s="37"/>
    </row>
    <row r="4533" spans="3:3" x14ac:dyDescent="0.25">
      <c r="C4533" s="37"/>
    </row>
    <row r="4534" spans="3:3" x14ac:dyDescent="0.25">
      <c r="C4534" s="37"/>
    </row>
    <row r="4535" spans="3:3" x14ac:dyDescent="0.25">
      <c r="C4535" s="37"/>
    </row>
    <row r="4536" spans="3:3" x14ac:dyDescent="0.25">
      <c r="C4536" s="37"/>
    </row>
    <row r="4537" spans="3:3" x14ac:dyDescent="0.25">
      <c r="C4537" s="37"/>
    </row>
    <row r="4538" spans="3:3" x14ac:dyDescent="0.25">
      <c r="C4538" s="37"/>
    </row>
    <row r="4539" spans="3:3" x14ac:dyDescent="0.25">
      <c r="C4539" s="37"/>
    </row>
    <row r="4540" spans="3:3" x14ac:dyDescent="0.25">
      <c r="C4540" s="37"/>
    </row>
    <row r="4541" spans="3:3" x14ac:dyDescent="0.25">
      <c r="C4541" s="37"/>
    </row>
    <row r="4542" spans="3:3" x14ac:dyDescent="0.25">
      <c r="C4542" s="37"/>
    </row>
    <row r="4543" spans="3:3" x14ac:dyDescent="0.25">
      <c r="C4543" s="37"/>
    </row>
    <row r="4544" spans="3:3" x14ac:dyDescent="0.25">
      <c r="C4544" s="37"/>
    </row>
    <row r="4545" spans="3:3" x14ac:dyDescent="0.25">
      <c r="C4545" s="37"/>
    </row>
    <row r="4546" spans="3:3" x14ac:dyDescent="0.25">
      <c r="C4546" s="37"/>
    </row>
    <row r="4547" spans="3:3" x14ac:dyDescent="0.25">
      <c r="C4547" s="37"/>
    </row>
    <row r="4548" spans="3:3" x14ac:dyDescent="0.25">
      <c r="C4548" s="37"/>
    </row>
    <row r="4549" spans="3:3" x14ac:dyDescent="0.25">
      <c r="C4549" s="37"/>
    </row>
    <row r="4550" spans="3:3" x14ac:dyDescent="0.25">
      <c r="C4550" s="37"/>
    </row>
    <row r="4551" spans="3:3" x14ac:dyDescent="0.25">
      <c r="C4551" s="37"/>
    </row>
    <row r="4552" spans="3:3" x14ac:dyDescent="0.25">
      <c r="C4552" s="37"/>
    </row>
    <row r="4553" spans="3:3" x14ac:dyDescent="0.25">
      <c r="C4553" s="37"/>
    </row>
    <row r="4554" spans="3:3" x14ac:dyDescent="0.25">
      <c r="C4554" s="37"/>
    </row>
    <row r="4555" spans="3:3" x14ac:dyDescent="0.25">
      <c r="C4555" s="37"/>
    </row>
    <row r="4556" spans="3:3" x14ac:dyDescent="0.25">
      <c r="C4556" s="37"/>
    </row>
    <row r="4557" spans="3:3" x14ac:dyDescent="0.25">
      <c r="C4557" s="37"/>
    </row>
    <row r="4558" spans="3:3" x14ac:dyDescent="0.25">
      <c r="C4558" s="37"/>
    </row>
    <row r="4559" spans="3:3" x14ac:dyDescent="0.25">
      <c r="C4559" s="37"/>
    </row>
    <row r="4560" spans="3:3" x14ac:dyDescent="0.25">
      <c r="C4560" s="37"/>
    </row>
    <row r="4561" spans="3:3" x14ac:dyDescent="0.25">
      <c r="C4561" s="37"/>
    </row>
    <row r="4562" spans="3:3" x14ac:dyDescent="0.25">
      <c r="C4562" s="37"/>
    </row>
    <row r="4563" spans="3:3" x14ac:dyDescent="0.25">
      <c r="C4563" s="37"/>
    </row>
    <row r="4564" spans="3:3" x14ac:dyDescent="0.25">
      <c r="C4564" s="37"/>
    </row>
    <row r="4565" spans="3:3" x14ac:dyDescent="0.25">
      <c r="C4565" s="37"/>
    </row>
    <row r="4566" spans="3:3" x14ac:dyDescent="0.25">
      <c r="C4566" s="37"/>
    </row>
    <row r="4567" spans="3:3" x14ac:dyDescent="0.25">
      <c r="C4567" s="37"/>
    </row>
    <row r="4568" spans="3:3" x14ac:dyDescent="0.25">
      <c r="C4568" s="37"/>
    </row>
    <row r="4569" spans="3:3" x14ac:dyDescent="0.25">
      <c r="C4569" s="37"/>
    </row>
    <row r="4570" spans="3:3" x14ac:dyDescent="0.25">
      <c r="C4570" s="37"/>
    </row>
    <row r="4571" spans="3:3" x14ac:dyDescent="0.25">
      <c r="C4571" s="37"/>
    </row>
    <row r="4572" spans="3:3" x14ac:dyDescent="0.25">
      <c r="C4572" s="37"/>
    </row>
    <row r="4573" spans="3:3" x14ac:dyDescent="0.25">
      <c r="C4573" s="37"/>
    </row>
    <row r="4574" spans="3:3" x14ac:dyDescent="0.25">
      <c r="C4574" s="37"/>
    </row>
    <row r="4575" spans="3:3" x14ac:dyDescent="0.25">
      <c r="C4575" s="37"/>
    </row>
    <row r="4576" spans="3:3" x14ac:dyDescent="0.25">
      <c r="C4576" s="37"/>
    </row>
    <row r="4577" spans="3:3" x14ac:dyDescent="0.25">
      <c r="C4577" s="37"/>
    </row>
    <row r="4578" spans="3:3" x14ac:dyDescent="0.25">
      <c r="C4578" s="37"/>
    </row>
    <row r="4579" spans="3:3" x14ac:dyDescent="0.25">
      <c r="C4579" s="37"/>
    </row>
    <row r="4580" spans="3:3" x14ac:dyDescent="0.25">
      <c r="C4580" s="37"/>
    </row>
    <row r="4581" spans="3:3" x14ac:dyDescent="0.25">
      <c r="C4581" s="37"/>
    </row>
    <row r="4582" spans="3:3" x14ac:dyDescent="0.25">
      <c r="C4582" s="37"/>
    </row>
    <row r="4583" spans="3:3" x14ac:dyDescent="0.25">
      <c r="C4583" s="37"/>
    </row>
    <row r="4584" spans="3:3" x14ac:dyDescent="0.25">
      <c r="C4584" s="37"/>
    </row>
    <row r="4585" spans="3:3" x14ac:dyDescent="0.25">
      <c r="C4585" s="37"/>
    </row>
    <row r="4586" spans="3:3" x14ac:dyDescent="0.25">
      <c r="C4586" s="37"/>
    </row>
    <row r="4587" spans="3:3" x14ac:dyDescent="0.25">
      <c r="C4587" s="37"/>
    </row>
    <row r="4588" spans="3:3" x14ac:dyDescent="0.25">
      <c r="C4588" s="37"/>
    </row>
    <row r="4589" spans="3:3" x14ac:dyDescent="0.25">
      <c r="C4589" s="37"/>
    </row>
    <row r="4590" spans="3:3" x14ac:dyDescent="0.25">
      <c r="C4590" s="37"/>
    </row>
    <row r="4591" spans="3:3" x14ac:dyDescent="0.25">
      <c r="C4591" s="37"/>
    </row>
    <row r="4592" spans="3:3" x14ac:dyDescent="0.25">
      <c r="C4592" s="37"/>
    </row>
    <row r="4593" spans="3:3" x14ac:dyDescent="0.25">
      <c r="C4593" s="37"/>
    </row>
    <row r="4594" spans="3:3" x14ac:dyDescent="0.25">
      <c r="C4594" s="37"/>
    </row>
    <row r="4595" spans="3:3" x14ac:dyDescent="0.25">
      <c r="C4595" s="37"/>
    </row>
    <row r="4596" spans="3:3" x14ac:dyDescent="0.25">
      <c r="C4596" s="37"/>
    </row>
    <row r="4597" spans="3:3" x14ac:dyDescent="0.25">
      <c r="C4597" s="37"/>
    </row>
    <row r="4598" spans="3:3" x14ac:dyDescent="0.25">
      <c r="C4598" s="37"/>
    </row>
    <row r="4599" spans="3:3" x14ac:dyDescent="0.25">
      <c r="C4599" s="37"/>
    </row>
    <row r="4600" spans="3:3" x14ac:dyDescent="0.25">
      <c r="C4600" s="37"/>
    </row>
    <row r="4601" spans="3:3" x14ac:dyDescent="0.25">
      <c r="C4601" s="37"/>
    </row>
    <row r="4602" spans="3:3" x14ac:dyDescent="0.25">
      <c r="C4602" s="37"/>
    </row>
    <row r="4603" spans="3:3" x14ac:dyDescent="0.25">
      <c r="C4603" s="37"/>
    </row>
    <row r="4604" spans="3:3" x14ac:dyDescent="0.25">
      <c r="C4604" s="37"/>
    </row>
    <row r="4605" spans="3:3" x14ac:dyDescent="0.25">
      <c r="C4605" s="37"/>
    </row>
    <row r="4606" spans="3:3" x14ac:dyDescent="0.25">
      <c r="C4606" s="37"/>
    </row>
    <row r="4607" spans="3:3" x14ac:dyDescent="0.25">
      <c r="C4607" s="37"/>
    </row>
    <row r="4608" spans="3:3" x14ac:dyDescent="0.25">
      <c r="C4608" s="37"/>
    </row>
    <row r="4609" spans="3:3" x14ac:dyDescent="0.25">
      <c r="C4609" s="37"/>
    </row>
    <row r="4610" spans="3:3" x14ac:dyDescent="0.25">
      <c r="C4610" s="37"/>
    </row>
    <row r="4611" spans="3:3" x14ac:dyDescent="0.25">
      <c r="C4611" s="37"/>
    </row>
    <row r="4612" spans="3:3" x14ac:dyDescent="0.25">
      <c r="C4612" s="37"/>
    </row>
    <row r="4613" spans="3:3" x14ac:dyDescent="0.25">
      <c r="C4613" s="37"/>
    </row>
    <row r="4614" spans="3:3" x14ac:dyDescent="0.25">
      <c r="C4614" s="37"/>
    </row>
    <row r="4615" spans="3:3" x14ac:dyDescent="0.25">
      <c r="C4615" s="37"/>
    </row>
    <row r="4616" spans="3:3" x14ac:dyDescent="0.25">
      <c r="C4616" s="37"/>
    </row>
    <row r="4617" spans="3:3" x14ac:dyDescent="0.25">
      <c r="C4617" s="37"/>
    </row>
    <row r="4618" spans="3:3" x14ac:dyDescent="0.25">
      <c r="C4618" s="37"/>
    </row>
    <row r="4619" spans="3:3" x14ac:dyDescent="0.25">
      <c r="C4619" s="37"/>
    </row>
    <row r="4620" spans="3:3" x14ac:dyDescent="0.25">
      <c r="C4620" s="37"/>
    </row>
    <row r="4621" spans="3:3" x14ac:dyDescent="0.25">
      <c r="C4621" s="37"/>
    </row>
    <row r="4622" spans="3:3" x14ac:dyDescent="0.25">
      <c r="C4622" s="37"/>
    </row>
    <row r="4623" spans="3:3" x14ac:dyDescent="0.25">
      <c r="C4623" s="37"/>
    </row>
    <row r="4624" spans="3:3" x14ac:dyDescent="0.25">
      <c r="C4624" s="37"/>
    </row>
    <row r="4625" spans="3:3" x14ac:dyDescent="0.25">
      <c r="C4625" s="37"/>
    </row>
    <row r="4626" spans="3:3" x14ac:dyDescent="0.25">
      <c r="C4626" s="37"/>
    </row>
    <row r="4627" spans="3:3" x14ac:dyDescent="0.25">
      <c r="C4627" s="37"/>
    </row>
    <row r="4628" spans="3:3" x14ac:dyDescent="0.25">
      <c r="C4628" s="37"/>
    </row>
    <row r="4629" spans="3:3" x14ac:dyDescent="0.25">
      <c r="C4629" s="37"/>
    </row>
    <row r="4630" spans="3:3" x14ac:dyDescent="0.25">
      <c r="C4630" s="37"/>
    </row>
    <row r="4631" spans="3:3" x14ac:dyDescent="0.25">
      <c r="C4631" s="37"/>
    </row>
    <row r="4632" spans="3:3" x14ac:dyDescent="0.25">
      <c r="C4632" s="37"/>
    </row>
    <row r="4633" spans="3:3" x14ac:dyDescent="0.25">
      <c r="C4633" s="37"/>
    </row>
    <row r="4634" spans="3:3" x14ac:dyDescent="0.25">
      <c r="C4634" s="37"/>
    </row>
    <row r="4635" spans="3:3" x14ac:dyDescent="0.25">
      <c r="C4635" s="37"/>
    </row>
    <row r="4636" spans="3:3" x14ac:dyDescent="0.25">
      <c r="C4636" s="37"/>
    </row>
    <row r="4637" spans="3:3" x14ac:dyDescent="0.25">
      <c r="C4637" s="37"/>
    </row>
    <row r="4638" spans="3:3" x14ac:dyDescent="0.25">
      <c r="C4638" s="37"/>
    </row>
    <row r="4639" spans="3:3" x14ac:dyDescent="0.25">
      <c r="C4639" s="37"/>
    </row>
    <row r="4640" spans="3:3" x14ac:dyDescent="0.25">
      <c r="C4640" s="37"/>
    </row>
    <row r="4641" spans="3:3" x14ac:dyDescent="0.25">
      <c r="C4641" s="37"/>
    </row>
    <row r="4642" spans="3:3" x14ac:dyDescent="0.25">
      <c r="C4642" s="37"/>
    </row>
    <row r="4643" spans="3:3" x14ac:dyDescent="0.25">
      <c r="C4643" s="37"/>
    </row>
    <row r="4644" spans="3:3" x14ac:dyDescent="0.25">
      <c r="C4644" s="37"/>
    </row>
    <row r="4645" spans="3:3" x14ac:dyDescent="0.25">
      <c r="C4645" s="37"/>
    </row>
    <row r="4646" spans="3:3" x14ac:dyDescent="0.25">
      <c r="C4646" s="37"/>
    </row>
    <row r="4647" spans="3:3" x14ac:dyDescent="0.25">
      <c r="C4647" s="37"/>
    </row>
    <row r="4648" spans="3:3" x14ac:dyDescent="0.25">
      <c r="C4648" s="37"/>
    </row>
    <row r="4649" spans="3:3" x14ac:dyDescent="0.25">
      <c r="C4649" s="37"/>
    </row>
    <row r="4650" spans="3:3" x14ac:dyDescent="0.25">
      <c r="C4650" s="37"/>
    </row>
    <row r="4651" spans="3:3" x14ac:dyDescent="0.25">
      <c r="C4651" s="37"/>
    </row>
    <row r="4652" spans="3:3" x14ac:dyDescent="0.25">
      <c r="C4652" s="37"/>
    </row>
    <row r="4653" spans="3:3" x14ac:dyDescent="0.25">
      <c r="C4653" s="37"/>
    </row>
    <row r="4654" spans="3:3" x14ac:dyDescent="0.25">
      <c r="C4654" s="37"/>
    </row>
    <row r="4655" spans="3:3" x14ac:dyDescent="0.25">
      <c r="C4655" s="37"/>
    </row>
    <row r="4656" spans="3:3" x14ac:dyDescent="0.25">
      <c r="C4656" s="37"/>
    </row>
    <row r="4657" spans="3:3" x14ac:dyDescent="0.25">
      <c r="C4657" s="37"/>
    </row>
    <row r="4658" spans="3:3" x14ac:dyDescent="0.25">
      <c r="C4658" s="37"/>
    </row>
    <row r="4659" spans="3:3" x14ac:dyDescent="0.25">
      <c r="C4659" s="37"/>
    </row>
    <row r="4660" spans="3:3" x14ac:dyDescent="0.25">
      <c r="C4660" s="37"/>
    </row>
    <row r="4661" spans="3:3" x14ac:dyDescent="0.25">
      <c r="C4661" s="37"/>
    </row>
    <row r="4662" spans="3:3" x14ac:dyDescent="0.25">
      <c r="C4662" s="37"/>
    </row>
    <row r="4663" spans="3:3" x14ac:dyDescent="0.25">
      <c r="C4663" s="37"/>
    </row>
    <row r="4664" spans="3:3" x14ac:dyDescent="0.25">
      <c r="C4664" s="37"/>
    </row>
    <row r="4665" spans="3:3" x14ac:dyDescent="0.25">
      <c r="C4665" s="37"/>
    </row>
    <row r="4666" spans="3:3" x14ac:dyDescent="0.25">
      <c r="C4666" s="37"/>
    </row>
    <row r="4667" spans="3:3" x14ac:dyDescent="0.25">
      <c r="C4667" s="37"/>
    </row>
    <row r="4668" spans="3:3" x14ac:dyDescent="0.25">
      <c r="C4668" s="37"/>
    </row>
    <row r="4669" spans="3:3" x14ac:dyDescent="0.25">
      <c r="C4669" s="37"/>
    </row>
    <row r="4670" spans="3:3" x14ac:dyDescent="0.25">
      <c r="C4670" s="37"/>
    </row>
    <row r="4671" spans="3:3" x14ac:dyDescent="0.25">
      <c r="C4671" s="37"/>
    </row>
    <row r="4672" spans="3:3" x14ac:dyDescent="0.25">
      <c r="C4672" s="37"/>
    </row>
    <row r="4673" spans="3:3" x14ac:dyDescent="0.25">
      <c r="C4673" s="37"/>
    </row>
    <row r="4674" spans="3:3" x14ac:dyDescent="0.25">
      <c r="C4674" s="37"/>
    </row>
    <row r="4675" spans="3:3" x14ac:dyDescent="0.25">
      <c r="C4675" s="37"/>
    </row>
    <row r="4676" spans="3:3" x14ac:dyDescent="0.25">
      <c r="C4676" s="37"/>
    </row>
    <row r="4677" spans="3:3" x14ac:dyDescent="0.25">
      <c r="C4677" s="37"/>
    </row>
    <row r="4678" spans="3:3" x14ac:dyDescent="0.25">
      <c r="C4678" s="37"/>
    </row>
    <row r="4679" spans="3:3" x14ac:dyDescent="0.25">
      <c r="C4679" s="37"/>
    </row>
    <row r="4680" spans="3:3" x14ac:dyDescent="0.25">
      <c r="C4680" s="37"/>
    </row>
    <row r="4681" spans="3:3" x14ac:dyDescent="0.25">
      <c r="C4681" s="37"/>
    </row>
    <row r="4682" spans="3:3" x14ac:dyDescent="0.25">
      <c r="C4682" s="37"/>
    </row>
    <row r="4683" spans="3:3" x14ac:dyDescent="0.25">
      <c r="C4683" s="37"/>
    </row>
    <row r="4684" spans="3:3" x14ac:dyDescent="0.25">
      <c r="C4684" s="37"/>
    </row>
    <row r="4685" spans="3:3" x14ac:dyDescent="0.25">
      <c r="C4685" s="37"/>
    </row>
    <row r="4686" spans="3:3" x14ac:dyDescent="0.25">
      <c r="C4686" s="37"/>
    </row>
    <row r="4687" spans="3:3" x14ac:dyDescent="0.25">
      <c r="C4687" s="37"/>
    </row>
    <row r="4688" spans="3:3" x14ac:dyDescent="0.25">
      <c r="C4688" s="37"/>
    </row>
    <row r="4689" spans="3:3" x14ac:dyDescent="0.25">
      <c r="C4689" s="37"/>
    </row>
    <row r="4690" spans="3:3" x14ac:dyDescent="0.25">
      <c r="C4690" s="37"/>
    </row>
    <row r="4691" spans="3:3" x14ac:dyDescent="0.25">
      <c r="C4691" s="37"/>
    </row>
    <row r="4692" spans="3:3" x14ac:dyDescent="0.25">
      <c r="C4692" s="37"/>
    </row>
    <row r="4693" spans="3:3" x14ac:dyDescent="0.25">
      <c r="C4693" s="37"/>
    </row>
    <row r="4694" spans="3:3" x14ac:dyDescent="0.25">
      <c r="C4694" s="37"/>
    </row>
    <row r="4695" spans="3:3" x14ac:dyDescent="0.25">
      <c r="C4695" s="37"/>
    </row>
    <row r="4696" spans="3:3" x14ac:dyDescent="0.25">
      <c r="C4696" s="37"/>
    </row>
    <row r="4697" spans="3:3" x14ac:dyDescent="0.25">
      <c r="C4697" s="37"/>
    </row>
    <row r="4698" spans="3:3" x14ac:dyDescent="0.25">
      <c r="C4698" s="37"/>
    </row>
    <row r="4699" spans="3:3" x14ac:dyDescent="0.25">
      <c r="C4699" s="37"/>
    </row>
    <row r="4700" spans="3:3" x14ac:dyDescent="0.25">
      <c r="C4700" s="37"/>
    </row>
    <row r="4701" spans="3:3" x14ac:dyDescent="0.25">
      <c r="C4701" s="37"/>
    </row>
    <row r="4702" spans="3:3" x14ac:dyDescent="0.25">
      <c r="C4702" s="37"/>
    </row>
    <row r="4703" spans="3:3" x14ac:dyDescent="0.25">
      <c r="C4703" s="37"/>
    </row>
    <row r="4704" spans="3:3" x14ac:dyDescent="0.25">
      <c r="C4704" s="37"/>
    </row>
    <row r="4705" spans="3:3" x14ac:dyDescent="0.25">
      <c r="C4705" s="37"/>
    </row>
    <row r="4706" spans="3:3" x14ac:dyDescent="0.25">
      <c r="C4706" s="37"/>
    </row>
    <row r="4707" spans="3:3" x14ac:dyDescent="0.25">
      <c r="C4707" s="37"/>
    </row>
    <row r="4708" spans="3:3" x14ac:dyDescent="0.25">
      <c r="C4708" s="37"/>
    </row>
    <row r="4709" spans="3:3" x14ac:dyDescent="0.25">
      <c r="C4709" s="37"/>
    </row>
    <row r="4710" spans="3:3" x14ac:dyDescent="0.25">
      <c r="C4710" s="37"/>
    </row>
    <row r="4711" spans="3:3" x14ac:dyDescent="0.25">
      <c r="C4711" s="37"/>
    </row>
    <row r="4712" spans="3:3" x14ac:dyDescent="0.25">
      <c r="C4712" s="37"/>
    </row>
    <row r="4713" spans="3:3" x14ac:dyDescent="0.25">
      <c r="C4713" s="37"/>
    </row>
    <row r="4714" spans="3:3" x14ac:dyDescent="0.25">
      <c r="C4714" s="37"/>
    </row>
    <row r="4715" spans="3:3" x14ac:dyDescent="0.25">
      <c r="C4715" s="37"/>
    </row>
    <row r="4716" spans="3:3" x14ac:dyDescent="0.25">
      <c r="C4716" s="37"/>
    </row>
    <row r="4717" spans="3:3" x14ac:dyDescent="0.25">
      <c r="C4717" s="37"/>
    </row>
    <row r="4718" spans="3:3" x14ac:dyDescent="0.25">
      <c r="C4718" s="37"/>
    </row>
    <row r="4719" spans="3:3" x14ac:dyDescent="0.25">
      <c r="C4719" s="37"/>
    </row>
    <row r="4720" spans="3:3" x14ac:dyDescent="0.25">
      <c r="C4720" s="37"/>
    </row>
    <row r="4721" spans="3:3" x14ac:dyDescent="0.25">
      <c r="C4721" s="37"/>
    </row>
    <row r="4722" spans="3:3" x14ac:dyDescent="0.25">
      <c r="C4722" s="37"/>
    </row>
    <row r="4723" spans="3:3" x14ac:dyDescent="0.25">
      <c r="C4723" s="37"/>
    </row>
    <row r="4724" spans="3:3" x14ac:dyDescent="0.25">
      <c r="C4724" s="37"/>
    </row>
    <row r="4725" spans="3:3" x14ac:dyDescent="0.25">
      <c r="C4725" s="37"/>
    </row>
    <row r="4726" spans="3:3" x14ac:dyDescent="0.25">
      <c r="C4726" s="37"/>
    </row>
    <row r="4727" spans="3:3" x14ac:dyDescent="0.25">
      <c r="C4727" s="37"/>
    </row>
    <row r="4728" spans="3:3" x14ac:dyDescent="0.25">
      <c r="C4728" s="37"/>
    </row>
    <row r="4729" spans="3:3" x14ac:dyDescent="0.25">
      <c r="C4729" s="37"/>
    </row>
    <row r="4730" spans="3:3" x14ac:dyDescent="0.25">
      <c r="C4730" s="37"/>
    </row>
    <row r="4731" spans="3:3" x14ac:dyDescent="0.25">
      <c r="C4731" s="37"/>
    </row>
    <row r="4732" spans="3:3" x14ac:dyDescent="0.25">
      <c r="C4732" s="37"/>
    </row>
    <row r="4733" spans="3:3" x14ac:dyDescent="0.25">
      <c r="C4733" s="37"/>
    </row>
    <row r="4734" spans="3:3" x14ac:dyDescent="0.25">
      <c r="C4734" s="37"/>
    </row>
    <row r="4735" spans="3:3" x14ac:dyDescent="0.25">
      <c r="C4735" s="37"/>
    </row>
    <row r="4736" spans="3:3" x14ac:dyDescent="0.25">
      <c r="C4736" s="37"/>
    </row>
    <row r="4737" spans="3:3" x14ac:dyDescent="0.25">
      <c r="C4737" s="37"/>
    </row>
    <row r="4738" spans="3:3" x14ac:dyDescent="0.25">
      <c r="C4738" s="37"/>
    </row>
    <row r="4739" spans="3:3" x14ac:dyDescent="0.25">
      <c r="C4739" s="37"/>
    </row>
    <row r="4740" spans="3:3" x14ac:dyDescent="0.25">
      <c r="C4740" s="37"/>
    </row>
    <row r="4741" spans="3:3" x14ac:dyDescent="0.25">
      <c r="C4741" s="37"/>
    </row>
    <row r="4742" spans="3:3" x14ac:dyDescent="0.25">
      <c r="C4742" s="37"/>
    </row>
    <row r="4743" spans="3:3" x14ac:dyDescent="0.25">
      <c r="C4743" s="37"/>
    </row>
    <row r="4744" spans="3:3" x14ac:dyDescent="0.25">
      <c r="C4744" s="37"/>
    </row>
    <row r="4745" spans="3:3" x14ac:dyDescent="0.25">
      <c r="C4745" s="37"/>
    </row>
    <row r="4746" spans="3:3" x14ac:dyDescent="0.25">
      <c r="C4746" s="37"/>
    </row>
    <row r="4747" spans="3:3" x14ac:dyDescent="0.25">
      <c r="C4747" s="37"/>
    </row>
    <row r="4748" spans="3:3" x14ac:dyDescent="0.25">
      <c r="C4748" s="37"/>
    </row>
    <row r="4749" spans="3:3" x14ac:dyDescent="0.25">
      <c r="C4749" s="37"/>
    </row>
    <row r="4750" spans="3:3" x14ac:dyDescent="0.25">
      <c r="C4750" s="37"/>
    </row>
    <row r="4751" spans="3:3" x14ac:dyDescent="0.25">
      <c r="C4751" s="37"/>
    </row>
    <row r="4752" spans="3:3" x14ac:dyDescent="0.25">
      <c r="C4752" s="37"/>
    </row>
    <row r="4753" spans="3:3" x14ac:dyDescent="0.25">
      <c r="C4753" s="37"/>
    </row>
    <row r="4754" spans="3:3" x14ac:dyDescent="0.25">
      <c r="C4754" s="37"/>
    </row>
    <row r="4755" spans="3:3" x14ac:dyDescent="0.25">
      <c r="C4755" s="37"/>
    </row>
    <row r="4756" spans="3:3" x14ac:dyDescent="0.25">
      <c r="C4756" s="37"/>
    </row>
    <row r="4757" spans="3:3" x14ac:dyDescent="0.25">
      <c r="C4757" s="37"/>
    </row>
    <row r="4758" spans="3:3" x14ac:dyDescent="0.25">
      <c r="C4758" s="37"/>
    </row>
    <row r="4759" spans="3:3" x14ac:dyDescent="0.25">
      <c r="C4759" s="37"/>
    </row>
    <row r="4760" spans="3:3" x14ac:dyDescent="0.25">
      <c r="C4760" s="37"/>
    </row>
    <row r="4761" spans="3:3" x14ac:dyDescent="0.25">
      <c r="C4761" s="37"/>
    </row>
    <row r="4762" spans="3:3" x14ac:dyDescent="0.25">
      <c r="C4762" s="37"/>
    </row>
    <row r="4763" spans="3:3" x14ac:dyDescent="0.25">
      <c r="C4763" s="37"/>
    </row>
    <row r="4764" spans="3:3" x14ac:dyDescent="0.25">
      <c r="C4764" s="37"/>
    </row>
    <row r="4765" spans="3:3" x14ac:dyDescent="0.25">
      <c r="C4765" s="37"/>
    </row>
    <row r="4766" spans="3:3" x14ac:dyDescent="0.25">
      <c r="C4766" s="37"/>
    </row>
    <row r="4767" spans="3:3" x14ac:dyDescent="0.25">
      <c r="C4767" s="37"/>
    </row>
    <row r="4768" spans="3:3" x14ac:dyDescent="0.25">
      <c r="C4768" s="37"/>
    </row>
    <row r="4769" spans="3:3" x14ac:dyDescent="0.25">
      <c r="C4769" s="37"/>
    </row>
    <row r="4770" spans="3:3" x14ac:dyDescent="0.25">
      <c r="C4770" s="37"/>
    </row>
    <row r="4771" spans="3:3" x14ac:dyDescent="0.25">
      <c r="C4771" s="37"/>
    </row>
    <row r="4772" spans="3:3" x14ac:dyDescent="0.25">
      <c r="C4772" s="37"/>
    </row>
    <row r="4773" spans="3:3" x14ac:dyDescent="0.25">
      <c r="C4773" s="37"/>
    </row>
    <row r="4774" spans="3:3" x14ac:dyDescent="0.25">
      <c r="C4774" s="37"/>
    </row>
    <row r="4775" spans="3:3" x14ac:dyDescent="0.25">
      <c r="C4775" s="37"/>
    </row>
    <row r="4776" spans="3:3" x14ac:dyDescent="0.25">
      <c r="C4776" s="37"/>
    </row>
    <row r="4777" spans="3:3" x14ac:dyDescent="0.25">
      <c r="C4777" s="37"/>
    </row>
    <row r="4778" spans="3:3" x14ac:dyDescent="0.25">
      <c r="C4778" s="37"/>
    </row>
    <row r="4779" spans="3:3" x14ac:dyDescent="0.25">
      <c r="C4779" s="37"/>
    </row>
    <row r="4780" spans="3:3" x14ac:dyDescent="0.25">
      <c r="C4780" s="37"/>
    </row>
    <row r="4781" spans="3:3" x14ac:dyDescent="0.25">
      <c r="C4781" s="37"/>
    </row>
    <row r="4782" spans="3:3" x14ac:dyDescent="0.25">
      <c r="C4782" s="37"/>
    </row>
    <row r="4783" spans="3:3" x14ac:dyDescent="0.25">
      <c r="C4783" s="37"/>
    </row>
    <row r="4784" spans="3:3" x14ac:dyDescent="0.25">
      <c r="C4784" s="37"/>
    </row>
    <row r="4785" spans="3:3" x14ac:dyDescent="0.25">
      <c r="C4785" s="37"/>
    </row>
    <row r="4786" spans="3:3" x14ac:dyDescent="0.25">
      <c r="C4786" s="37"/>
    </row>
    <row r="4787" spans="3:3" x14ac:dyDescent="0.25">
      <c r="C4787" s="37"/>
    </row>
    <row r="4788" spans="3:3" x14ac:dyDescent="0.25">
      <c r="C4788" s="37"/>
    </row>
    <row r="4789" spans="3:3" x14ac:dyDescent="0.25">
      <c r="C4789" s="37"/>
    </row>
    <row r="4790" spans="3:3" x14ac:dyDescent="0.25">
      <c r="C4790" s="37"/>
    </row>
    <row r="4791" spans="3:3" x14ac:dyDescent="0.25">
      <c r="C4791" s="37"/>
    </row>
    <row r="4792" spans="3:3" x14ac:dyDescent="0.25">
      <c r="C4792" s="37"/>
    </row>
    <row r="4793" spans="3:3" x14ac:dyDescent="0.25">
      <c r="C4793" s="37"/>
    </row>
    <row r="4794" spans="3:3" x14ac:dyDescent="0.25">
      <c r="C4794" s="37"/>
    </row>
    <row r="4795" spans="3:3" x14ac:dyDescent="0.25">
      <c r="C4795" s="37"/>
    </row>
    <row r="4796" spans="3:3" x14ac:dyDescent="0.25">
      <c r="C4796" s="37"/>
    </row>
    <row r="4797" spans="3:3" x14ac:dyDescent="0.25">
      <c r="C4797" s="37"/>
    </row>
    <row r="4798" spans="3:3" x14ac:dyDescent="0.25">
      <c r="C4798" s="37"/>
    </row>
    <row r="4799" spans="3:3" x14ac:dyDescent="0.25">
      <c r="C4799" s="37"/>
    </row>
    <row r="4800" spans="3:3" x14ac:dyDescent="0.25">
      <c r="C4800" s="37"/>
    </row>
    <row r="4801" spans="3:3" x14ac:dyDescent="0.25">
      <c r="C4801" s="37"/>
    </row>
    <row r="4802" spans="3:3" x14ac:dyDescent="0.25">
      <c r="C4802" s="37"/>
    </row>
    <row r="4803" spans="3:3" x14ac:dyDescent="0.25">
      <c r="C4803" s="37"/>
    </row>
    <row r="4804" spans="3:3" x14ac:dyDescent="0.25">
      <c r="C4804" s="37"/>
    </row>
    <row r="4805" spans="3:3" x14ac:dyDescent="0.25">
      <c r="C4805" s="37"/>
    </row>
    <row r="4806" spans="3:3" x14ac:dyDescent="0.25">
      <c r="C4806" s="37"/>
    </row>
    <row r="4807" spans="3:3" x14ac:dyDescent="0.25">
      <c r="C4807" s="37"/>
    </row>
    <row r="4808" spans="3:3" x14ac:dyDescent="0.25">
      <c r="C4808" s="37"/>
    </row>
    <row r="4809" spans="3:3" x14ac:dyDescent="0.25">
      <c r="C4809" s="37"/>
    </row>
    <row r="4810" spans="3:3" x14ac:dyDescent="0.25">
      <c r="C4810" s="37"/>
    </row>
    <row r="4811" spans="3:3" x14ac:dyDescent="0.25">
      <c r="C4811" s="37"/>
    </row>
    <row r="4812" spans="3:3" x14ac:dyDescent="0.25">
      <c r="C4812" s="37"/>
    </row>
    <row r="4813" spans="3:3" x14ac:dyDescent="0.25">
      <c r="C4813" s="37"/>
    </row>
    <row r="4814" spans="3:3" x14ac:dyDescent="0.25">
      <c r="C4814" s="37"/>
    </row>
    <row r="4815" spans="3:3" x14ac:dyDescent="0.25">
      <c r="C4815" s="37"/>
    </row>
    <row r="4816" spans="3:3" x14ac:dyDescent="0.25">
      <c r="C4816" s="37"/>
    </row>
    <row r="4817" spans="3:3" x14ac:dyDescent="0.25">
      <c r="C4817" s="37"/>
    </row>
    <row r="4818" spans="3:3" x14ac:dyDescent="0.25">
      <c r="C4818" s="37"/>
    </row>
    <row r="4819" spans="3:3" x14ac:dyDescent="0.25">
      <c r="C4819" s="37"/>
    </row>
    <row r="4820" spans="3:3" x14ac:dyDescent="0.25">
      <c r="C4820" s="37"/>
    </row>
    <row r="4821" spans="3:3" x14ac:dyDescent="0.25">
      <c r="C4821" s="37"/>
    </row>
    <row r="4822" spans="3:3" x14ac:dyDescent="0.25">
      <c r="C4822" s="37"/>
    </row>
    <row r="4823" spans="3:3" x14ac:dyDescent="0.25">
      <c r="C4823" s="37"/>
    </row>
    <row r="4824" spans="3:3" x14ac:dyDescent="0.25">
      <c r="C4824" s="37"/>
    </row>
    <row r="4825" spans="3:3" x14ac:dyDescent="0.25">
      <c r="C4825" s="37"/>
    </row>
    <row r="4826" spans="3:3" x14ac:dyDescent="0.25">
      <c r="C4826" s="37"/>
    </row>
    <row r="4827" spans="3:3" x14ac:dyDescent="0.25">
      <c r="C4827" s="37"/>
    </row>
    <row r="4828" spans="3:3" x14ac:dyDescent="0.25">
      <c r="C4828" s="37"/>
    </row>
    <row r="4829" spans="3:3" x14ac:dyDescent="0.25">
      <c r="C4829" s="37"/>
    </row>
    <row r="4830" spans="3:3" x14ac:dyDescent="0.25">
      <c r="C4830" s="37"/>
    </row>
    <row r="4831" spans="3:3" x14ac:dyDescent="0.25">
      <c r="C4831" s="37"/>
    </row>
    <row r="4832" spans="3:3" x14ac:dyDescent="0.25">
      <c r="C4832" s="37"/>
    </row>
    <row r="4833" spans="3:3" x14ac:dyDescent="0.25">
      <c r="C4833" s="37"/>
    </row>
    <row r="4834" spans="3:3" x14ac:dyDescent="0.25">
      <c r="C4834" s="37"/>
    </row>
    <row r="4835" spans="3:3" x14ac:dyDescent="0.25">
      <c r="C4835" s="37"/>
    </row>
    <row r="4836" spans="3:3" x14ac:dyDescent="0.25">
      <c r="C4836" s="37"/>
    </row>
    <row r="4837" spans="3:3" x14ac:dyDescent="0.25">
      <c r="C4837" s="37"/>
    </row>
    <row r="4838" spans="3:3" x14ac:dyDescent="0.25">
      <c r="C4838" s="37"/>
    </row>
    <row r="4839" spans="3:3" x14ac:dyDescent="0.25">
      <c r="C4839" s="37"/>
    </row>
    <row r="4840" spans="3:3" x14ac:dyDescent="0.25">
      <c r="C4840" s="37"/>
    </row>
    <row r="4841" spans="3:3" x14ac:dyDescent="0.25">
      <c r="C4841" s="37"/>
    </row>
    <row r="4842" spans="3:3" x14ac:dyDescent="0.25">
      <c r="C4842" s="37"/>
    </row>
    <row r="4843" spans="3:3" x14ac:dyDescent="0.25">
      <c r="C4843" s="37"/>
    </row>
    <row r="4844" spans="3:3" x14ac:dyDescent="0.25">
      <c r="C4844" s="37"/>
    </row>
    <row r="4845" spans="3:3" x14ac:dyDescent="0.25">
      <c r="C4845" s="37"/>
    </row>
    <row r="4846" spans="3:3" x14ac:dyDescent="0.25">
      <c r="C4846" s="37"/>
    </row>
    <row r="4847" spans="3:3" x14ac:dyDescent="0.25">
      <c r="C4847" s="37"/>
    </row>
    <row r="4848" spans="3:3" x14ac:dyDescent="0.25">
      <c r="C4848" s="37"/>
    </row>
    <row r="4849" spans="3:3" x14ac:dyDescent="0.25">
      <c r="C4849" s="37"/>
    </row>
    <row r="4850" spans="3:3" x14ac:dyDescent="0.25">
      <c r="C4850" s="37"/>
    </row>
    <row r="4851" spans="3:3" x14ac:dyDescent="0.25">
      <c r="C4851" s="37"/>
    </row>
    <row r="4852" spans="3:3" x14ac:dyDescent="0.25">
      <c r="C4852" s="37"/>
    </row>
    <row r="4853" spans="3:3" x14ac:dyDescent="0.25">
      <c r="C4853" s="37"/>
    </row>
    <row r="4854" spans="3:3" x14ac:dyDescent="0.25">
      <c r="C4854" s="37"/>
    </row>
    <row r="4855" spans="3:3" x14ac:dyDescent="0.25">
      <c r="C4855" s="37"/>
    </row>
    <row r="4856" spans="3:3" x14ac:dyDescent="0.25">
      <c r="C4856" s="37"/>
    </row>
    <row r="4857" spans="3:3" x14ac:dyDescent="0.25">
      <c r="C4857" s="37"/>
    </row>
    <row r="4858" spans="3:3" x14ac:dyDescent="0.25">
      <c r="C4858" s="37"/>
    </row>
    <row r="4859" spans="3:3" x14ac:dyDescent="0.25">
      <c r="C4859" s="37"/>
    </row>
    <row r="4860" spans="3:3" x14ac:dyDescent="0.25">
      <c r="C4860" s="37"/>
    </row>
    <row r="4861" spans="3:3" x14ac:dyDescent="0.25">
      <c r="C4861" s="37"/>
    </row>
    <row r="4862" spans="3:3" x14ac:dyDescent="0.25">
      <c r="C4862" s="37"/>
    </row>
    <row r="4863" spans="3:3" x14ac:dyDescent="0.25">
      <c r="C4863" s="37"/>
    </row>
    <row r="4864" spans="3:3" x14ac:dyDescent="0.25">
      <c r="C4864" s="37"/>
    </row>
    <row r="4865" spans="3:3" x14ac:dyDescent="0.25">
      <c r="C4865" s="37"/>
    </row>
    <row r="4866" spans="3:3" x14ac:dyDescent="0.25">
      <c r="C4866" s="37"/>
    </row>
    <row r="4867" spans="3:3" x14ac:dyDescent="0.25">
      <c r="C4867" s="37"/>
    </row>
    <row r="4868" spans="3:3" x14ac:dyDescent="0.25">
      <c r="C4868" s="37"/>
    </row>
    <row r="4869" spans="3:3" x14ac:dyDescent="0.25">
      <c r="C4869" s="37"/>
    </row>
    <row r="4870" spans="3:3" x14ac:dyDescent="0.25">
      <c r="C4870" s="37"/>
    </row>
    <row r="4871" spans="3:3" x14ac:dyDescent="0.25">
      <c r="C4871" s="37"/>
    </row>
    <row r="4872" spans="3:3" x14ac:dyDescent="0.25">
      <c r="C4872" s="37"/>
    </row>
    <row r="4873" spans="3:3" x14ac:dyDescent="0.25">
      <c r="C4873" s="37"/>
    </row>
    <row r="4874" spans="3:3" x14ac:dyDescent="0.25">
      <c r="C4874" s="37"/>
    </row>
    <row r="4875" spans="3:3" x14ac:dyDescent="0.25">
      <c r="C4875" s="37"/>
    </row>
    <row r="4876" spans="3:3" x14ac:dyDescent="0.25">
      <c r="C4876" s="37"/>
    </row>
    <row r="4877" spans="3:3" x14ac:dyDescent="0.25">
      <c r="C4877" s="37"/>
    </row>
    <row r="4878" spans="3:3" x14ac:dyDescent="0.25">
      <c r="C4878" s="37"/>
    </row>
    <row r="4879" spans="3:3" x14ac:dyDescent="0.25">
      <c r="C4879" s="37"/>
    </row>
    <row r="4880" spans="3:3" x14ac:dyDescent="0.25">
      <c r="C4880" s="37"/>
    </row>
    <row r="4881" spans="3:3" x14ac:dyDescent="0.25">
      <c r="C4881" s="37"/>
    </row>
    <row r="4882" spans="3:3" x14ac:dyDescent="0.25">
      <c r="C4882" s="37"/>
    </row>
    <row r="4883" spans="3:3" x14ac:dyDescent="0.25">
      <c r="C4883" s="37"/>
    </row>
    <row r="4884" spans="3:3" x14ac:dyDescent="0.25">
      <c r="C4884" s="37"/>
    </row>
    <row r="4885" spans="3:3" x14ac:dyDescent="0.25">
      <c r="C4885" s="37"/>
    </row>
    <row r="4886" spans="3:3" x14ac:dyDescent="0.25">
      <c r="C4886" s="37"/>
    </row>
    <row r="4887" spans="3:3" x14ac:dyDescent="0.25">
      <c r="C4887" s="37"/>
    </row>
    <row r="4888" spans="3:3" x14ac:dyDescent="0.25">
      <c r="C4888" s="37"/>
    </row>
    <row r="4889" spans="3:3" x14ac:dyDescent="0.25">
      <c r="C4889" s="37"/>
    </row>
    <row r="4890" spans="3:3" x14ac:dyDescent="0.25">
      <c r="C4890" s="37"/>
    </row>
    <row r="4891" spans="3:3" x14ac:dyDescent="0.25">
      <c r="C4891" s="37"/>
    </row>
    <row r="4892" spans="3:3" x14ac:dyDescent="0.25">
      <c r="C4892" s="37"/>
    </row>
    <row r="4893" spans="3:3" x14ac:dyDescent="0.25">
      <c r="C4893" s="37"/>
    </row>
    <row r="4894" spans="3:3" x14ac:dyDescent="0.25">
      <c r="C4894" s="37"/>
    </row>
    <row r="4895" spans="3:3" x14ac:dyDescent="0.25">
      <c r="C4895" s="37"/>
    </row>
    <row r="4896" spans="3:3" x14ac:dyDescent="0.25">
      <c r="C4896" s="37"/>
    </row>
    <row r="4897" spans="3:3" x14ac:dyDescent="0.25">
      <c r="C4897" s="37"/>
    </row>
    <row r="4898" spans="3:3" x14ac:dyDescent="0.25">
      <c r="C4898" s="37"/>
    </row>
    <row r="4899" spans="3:3" x14ac:dyDescent="0.25">
      <c r="C4899" s="37"/>
    </row>
    <row r="4900" spans="3:3" x14ac:dyDescent="0.25">
      <c r="C4900" s="37"/>
    </row>
    <row r="4901" spans="3:3" x14ac:dyDescent="0.25">
      <c r="C4901" s="37"/>
    </row>
    <row r="4902" spans="3:3" x14ac:dyDescent="0.25">
      <c r="C4902" s="37"/>
    </row>
    <row r="4903" spans="3:3" x14ac:dyDescent="0.25">
      <c r="C4903" s="37"/>
    </row>
    <row r="4904" spans="3:3" x14ac:dyDescent="0.25">
      <c r="C4904" s="37"/>
    </row>
    <row r="4905" spans="3:3" x14ac:dyDescent="0.25">
      <c r="C4905" s="37"/>
    </row>
    <row r="4906" spans="3:3" x14ac:dyDescent="0.25">
      <c r="C4906" s="37"/>
    </row>
    <row r="4907" spans="3:3" x14ac:dyDescent="0.25">
      <c r="C4907" s="37"/>
    </row>
    <row r="4908" spans="3:3" x14ac:dyDescent="0.25">
      <c r="C4908" s="37"/>
    </row>
    <row r="4909" spans="3:3" x14ac:dyDescent="0.25">
      <c r="C4909" s="37"/>
    </row>
    <row r="4910" spans="3:3" x14ac:dyDescent="0.25">
      <c r="C4910" s="37"/>
    </row>
    <row r="4911" spans="3:3" x14ac:dyDescent="0.25">
      <c r="C4911" s="37"/>
    </row>
    <row r="4912" spans="3:3" x14ac:dyDescent="0.25">
      <c r="C4912" s="37"/>
    </row>
    <row r="4913" spans="3:3" x14ac:dyDescent="0.25">
      <c r="C4913" s="37"/>
    </row>
    <row r="4914" spans="3:3" x14ac:dyDescent="0.25">
      <c r="C4914" s="37"/>
    </row>
    <row r="4915" spans="3:3" x14ac:dyDescent="0.25">
      <c r="C4915" s="37"/>
    </row>
    <row r="4916" spans="3:3" x14ac:dyDescent="0.25">
      <c r="C4916" s="37"/>
    </row>
    <row r="4917" spans="3:3" x14ac:dyDescent="0.25">
      <c r="C4917" s="37"/>
    </row>
    <row r="4918" spans="3:3" x14ac:dyDescent="0.25">
      <c r="C4918" s="37"/>
    </row>
    <row r="4919" spans="3:3" x14ac:dyDescent="0.25">
      <c r="C4919" s="37"/>
    </row>
    <row r="4920" spans="3:3" x14ac:dyDescent="0.25">
      <c r="C4920" s="37"/>
    </row>
    <row r="4921" spans="3:3" x14ac:dyDescent="0.25">
      <c r="C4921" s="37"/>
    </row>
    <row r="4922" spans="3:3" x14ac:dyDescent="0.25">
      <c r="C4922" s="37"/>
    </row>
    <row r="4923" spans="3:3" x14ac:dyDescent="0.25">
      <c r="C4923" s="37"/>
    </row>
    <row r="4924" spans="3:3" x14ac:dyDescent="0.25">
      <c r="C4924" s="37"/>
    </row>
    <row r="4925" spans="3:3" x14ac:dyDescent="0.25">
      <c r="C4925" s="37"/>
    </row>
    <row r="4926" spans="3:3" x14ac:dyDescent="0.25">
      <c r="C4926" s="37"/>
    </row>
    <row r="4927" spans="3:3" x14ac:dyDescent="0.25">
      <c r="C4927" s="37"/>
    </row>
    <row r="4928" spans="3:3" x14ac:dyDescent="0.25">
      <c r="C4928" s="37"/>
    </row>
    <row r="4929" spans="3:3" x14ac:dyDescent="0.25">
      <c r="C4929" s="37"/>
    </row>
    <row r="4930" spans="3:3" x14ac:dyDescent="0.25">
      <c r="C4930" s="37"/>
    </row>
    <row r="4931" spans="3:3" x14ac:dyDescent="0.25">
      <c r="C4931" s="37"/>
    </row>
    <row r="4932" spans="3:3" x14ac:dyDescent="0.25">
      <c r="C4932" s="37"/>
    </row>
    <row r="4933" spans="3:3" x14ac:dyDescent="0.25">
      <c r="C4933" s="37"/>
    </row>
    <row r="4934" spans="3:3" x14ac:dyDescent="0.25">
      <c r="C4934" s="37"/>
    </row>
    <row r="4935" spans="3:3" x14ac:dyDescent="0.25">
      <c r="C4935" s="37"/>
    </row>
    <row r="4936" spans="3:3" x14ac:dyDescent="0.25">
      <c r="C4936" s="37"/>
    </row>
    <row r="4937" spans="3:3" x14ac:dyDescent="0.25">
      <c r="C4937" s="37"/>
    </row>
    <row r="4938" spans="3:3" x14ac:dyDescent="0.25">
      <c r="C4938" s="37"/>
    </row>
    <row r="4939" spans="3:3" x14ac:dyDescent="0.25">
      <c r="C4939" s="37"/>
    </row>
    <row r="4940" spans="3:3" x14ac:dyDescent="0.25">
      <c r="C4940" s="37"/>
    </row>
    <row r="4941" spans="3:3" x14ac:dyDescent="0.25">
      <c r="C4941" s="37"/>
    </row>
    <row r="4942" spans="3:3" x14ac:dyDescent="0.25">
      <c r="C4942" s="37"/>
    </row>
    <row r="4943" spans="3:3" x14ac:dyDescent="0.25">
      <c r="C4943" s="37"/>
    </row>
    <row r="4944" spans="3:3" x14ac:dyDescent="0.25">
      <c r="C4944" s="37"/>
    </row>
    <row r="4945" spans="3:3" x14ac:dyDescent="0.25">
      <c r="C4945" s="37"/>
    </row>
    <row r="4946" spans="3:3" x14ac:dyDescent="0.25">
      <c r="C4946" s="37"/>
    </row>
    <row r="4947" spans="3:3" x14ac:dyDescent="0.25">
      <c r="C4947" s="37"/>
    </row>
    <row r="4948" spans="3:3" x14ac:dyDescent="0.25">
      <c r="C4948" s="37"/>
    </row>
    <row r="4949" spans="3:3" x14ac:dyDescent="0.25">
      <c r="C4949" s="37"/>
    </row>
    <row r="4950" spans="3:3" x14ac:dyDescent="0.25">
      <c r="C4950" s="37"/>
    </row>
    <row r="4951" spans="3:3" x14ac:dyDescent="0.25">
      <c r="C4951" s="37"/>
    </row>
    <row r="4952" spans="3:3" x14ac:dyDescent="0.25">
      <c r="C4952" s="37"/>
    </row>
    <row r="4953" spans="3:3" x14ac:dyDescent="0.25">
      <c r="C4953" s="37"/>
    </row>
    <row r="4954" spans="3:3" x14ac:dyDescent="0.25">
      <c r="C4954" s="37"/>
    </row>
    <row r="4955" spans="3:3" x14ac:dyDescent="0.25">
      <c r="C4955" s="37"/>
    </row>
    <row r="4956" spans="3:3" x14ac:dyDescent="0.25">
      <c r="C4956" s="37"/>
    </row>
    <row r="4957" spans="3:3" x14ac:dyDescent="0.25">
      <c r="C4957" s="37"/>
    </row>
    <row r="4958" spans="3:3" x14ac:dyDescent="0.25">
      <c r="C4958" s="37"/>
    </row>
    <row r="4959" spans="3:3" x14ac:dyDescent="0.25">
      <c r="C4959" s="37"/>
    </row>
    <row r="4960" spans="3:3" x14ac:dyDescent="0.25">
      <c r="C4960" s="37"/>
    </row>
    <row r="4961" spans="3:3" x14ac:dyDescent="0.25">
      <c r="C4961" s="37"/>
    </row>
    <row r="4962" spans="3:3" x14ac:dyDescent="0.25">
      <c r="C4962" s="37"/>
    </row>
    <row r="4963" spans="3:3" x14ac:dyDescent="0.25">
      <c r="C4963" s="37"/>
    </row>
    <row r="4964" spans="3:3" x14ac:dyDescent="0.25">
      <c r="C4964" s="37"/>
    </row>
    <row r="4965" spans="3:3" x14ac:dyDescent="0.25">
      <c r="C4965" s="37"/>
    </row>
    <row r="4966" spans="3:3" x14ac:dyDescent="0.25">
      <c r="C4966" s="37"/>
    </row>
    <row r="4967" spans="3:3" x14ac:dyDescent="0.25">
      <c r="C4967" s="37"/>
    </row>
    <row r="4968" spans="3:3" x14ac:dyDescent="0.25">
      <c r="C4968" s="37"/>
    </row>
    <row r="4969" spans="3:3" x14ac:dyDescent="0.25">
      <c r="C4969" s="37"/>
    </row>
    <row r="4970" spans="3:3" x14ac:dyDescent="0.25">
      <c r="C4970" s="37"/>
    </row>
    <row r="4971" spans="3:3" x14ac:dyDescent="0.25">
      <c r="C4971" s="37"/>
    </row>
    <row r="4972" spans="3:3" x14ac:dyDescent="0.25">
      <c r="C4972" s="37"/>
    </row>
    <row r="4973" spans="3:3" x14ac:dyDescent="0.25">
      <c r="C4973" s="37"/>
    </row>
    <row r="4974" spans="3:3" x14ac:dyDescent="0.25">
      <c r="C4974" s="37"/>
    </row>
    <row r="4975" spans="3:3" x14ac:dyDescent="0.25">
      <c r="C4975" s="37"/>
    </row>
    <row r="4976" spans="3:3" x14ac:dyDescent="0.25">
      <c r="C4976" s="37"/>
    </row>
    <row r="4977" spans="3:3" x14ac:dyDescent="0.25">
      <c r="C4977" s="37"/>
    </row>
    <row r="4978" spans="3:3" x14ac:dyDescent="0.25">
      <c r="C4978" s="37"/>
    </row>
    <row r="4979" spans="3:3" x14ac:dyDescent="0.25">
      <c r="C4979" s="37"/>
    </row>
    <row r="4980" spans="3:3" x14ac:dyDescent="0.25">
      <c r="C4980" s="37"/>
    </row>
    <row r="4981" spans="3:3" x14ac:dyDescent="0.25">
      <c r="C4981" s="37"/>
    </row>
    <row r="4982" spans="3:3" x14ac:dyDescent="0.25">
      <c r="C4982" s="37"/>
    </row>
    <row r="4983" spans="3:3" x14ac:dyDescent="0.25">
      <c r="C4983" s="37"/>
    </row>
    <row r="4984" spans="3:3" x14ac:dyDescent="0.25">
      <c r="C4984" s="37"/>
    </row>
    <row r="4985" spans="3:3" x14ac:dyDescent="0.25">
      <c r="C4985" s="37"/>
    </row>
    <row r="4986" spans="3:3" x14ac:dyDescent="0.25">
      <c r="C4986" s="37"/>
    </row>
    <row r="4987" spans="3:3" x14ac:dyDescent="0.25">
      <c r="C4987" s="37"/>
    </row>
    <row r="4988" spans="3:3" x14ac:dyDescent="0.25">
      <c r="C4988" s="37"/>
    </row>
    <row r="4989" spans="3:3" x14ac:dyDescent="0.25">
      <c r="C4989" s="37"/>
    </row>
    <row r="4990" spans="3:3" x14ac:dyDescent="0.25">
      <c r="C4990" s="37"/>
    </row>
    <row r="4991" spans="3:3" x14ac:dyDescent="0.25">
      <c r="C4991" s="37"/>
    </row>
    <row r="4992" spans="3:3" x14ac:dyDescent="0.25">
      <c r="C4992" s="37"/>
    </row>
    <row r="4993" spans="3:3" x14ac:dyDescent="0.25">
      <c r="C4993" s="37"/>
    </row>
    <row r="4994" spans="3:3" x14ac:dyDescent="0.25">
      <c r="C4994" s="37"/>
    </row>
    <row r="4995" spans="3:3" x14ac:dyDescent="0.25">
      <c r="C4995" s="37"/>
    </row>
    <row r="4996" spans="3:3" x14ac:dyDescent="0.25">
      <c r="C4996" s="37"/>
    </row>
    <row r="4997" spans="3:3" x14ac:dyDescent="0.25">
      <c r="C4997" s="37"/>
    </row>
    <row r="4998" spans="3:3" x14ac:dyDescent="0.25">
      <c r="C4998" s="37"/>
    </row>
    <row r="4999" spans="3:3" x14ac:dyDescent="0.25">
      <c r="C4999" s="37"/>
    </row>
    <row r="5000" spans="3:3" x14ac:dyDescent="0.25">
      <c r="C5000" s="37"/>
    </row>
    <row r="5001" spans="3:3" x14ac:dyDescent="0.25">
      <c r="C5001" s="37"/>
    </row>
    <row r="5002" spans="3:3" x14ac:dyDescent="0.25">
      <c r="C5002" s="37"/>
    </row>
    <row r="5003" spans="3:3" x14ac:dyDescent="0.25">
      <c r="C5003" s="37"/>
    </row>
    <row r="5004" spans="3:3" x14ac:dyDescent="0.25">
      <c r="C5004" s="37"/>
    </row>
    <row r="5005" spans="3:3" x14ac:dyDescent="0.25">
      <c r="C5005" s="37"/>
    </row>
    <row r="5006" spans="3:3" x14ac:dyDescent="0.25">
      <c r="C5006" s="37"/>
    </row>
    <row r="5007" spans="3:3" x14ac:dyDescent="0.25">
      <c r="C5007" s="37"/>
    </row>
    <row r="5008" spans="3:3" x14ac:dyDescent="0.25">
      <c r="C5008" s="37"/>
    </row>
    <row r="5009" spans="3:3" x14ac:dyDescent="0.25">
      <c r="C5009" s="37"/>
    </row>
    <row r="5010" spans="3:3" x14ac:dyDescent="0.25">
      <c r="C5010" s="37"/>
    </row>
    <row r="5011" spans="3:3" x14ac:dyDescent="0.25">
      <c r="C5011" s="37"/>
    </row>
    <row r="5012" spans="3:3" x14ac:dyDescent="0.25">
      <c r="C5012" s="37"/>
    </row>
    <row r="5013" spans="3:3" x14ac:dyDescent="0.25">
      <c r="C5013" s="37"/>
    </row>
    <row r="5014" spans="3:3" x14ac:dyDescent="0.25">
      <c r="C5014" s="37"/>
    </row>
    <row r="5015" spans="3:3" x14ac:dyDescent="0.25">
      <c r="C5015" s="37"/>
    </row>
    <row r="5016" spans="3:3" x14ac:dyDescent="0.25">
      <c r="C5016" s="37"/>
    </row>
    <row r="5017" spans="3:3" x14ac:dyDescent="0.25">
      <c r="C5017" s="37"/>
    </row>
    <row r="5018" spans="3:3" x14ac:dyDescent="0.25">
      <c r="C5018" s="37"/>
    </row>
    <row r="5019" spans="3:3" x14ac:dyDescent="0.25">
      <c r="C5019" s="37"/>
    </row>
    <row r="5020" spans="3:3" x14ac:dyDescent="0.25">
      <c r="C5020" s="37"/>
    </row>
    <row r="5021" spans="3:3" x14ac:dyDescent="0.25">
      <c r="C5021" s="37"/>
    </row>
    <row r="5022" spans="3:3" x14ac:dyDescent="0.25">
      <c r="C5022" s="37"/>
    </row>
    <row r="5023" spans="3:3" x14ac:dyDescent="0.25">
      <c r="C5023" s="37"/>
    </row>
    <row r="5024" spans="3:3" x14ac:dyDescent="0.25">
      <c r="C5024" s="37"/>
    </row>
    <row r="5025" spans="3:3" x14ac:dyDescent="0.25">
      <c r="C5025" s="37"/>
    </row>
    <row r="5026" spans="3:3" x14ac:dyDescent="0.25">
      <c r="C5026" s="37"/>
    </row>
    <row r="5027" spans="3:3" x14ac:dyDescent="0.25">
      <c r="C5027" s="37"/>
    </row>
    <row r="5028" spans="3:3" x14ac:dyDescent="0.25">
      <c r="C5028" s="37"/>
    </row>
    <row r="5029" spans="3:3" x14ac:dyDescent="0.25">
      <c r="C5029" s="37"/>
    </row>
    <row r="5030" spans="3:3" x14ac:dyDescent="0.25">
      <c r="C5030" s="37"/>
    </row>
    <row r="5031" spans="3:3" x14ac:dyDescent="0.25">
      <c r="C5031" s="37"/>
    </row>
    <row r="5032" spans="3:3" x14ac:dyDescent="0.25">
      <c r="C5032" s="37"/>
    </row>
    <row r="5033" spans="3:3" x14ac:dyDescent="0.25">
      <c r="C5033" s="37"/>
    </row>
    <row r="5034" spans="3:3" x14ac:dyDescent="0.25">
      <c r="C5034" s="37"/>
    </row>
    <row r="5035" spans="3:3" x14ac:dyDescent="0.25">
      <c r="C5035" s="37"/>
    </row>
    <row r="5036" spans="3:3" x14ac:dyDescent="0.25">
      <c r="C5036" s="37"/>
    </row>
    <row r="5037" spans="3:3" x14ac:dyDescent="0.25">
      <c r="C5037" s="37"/>
    </row>
    <row r="5038" spans="3:3" x14ac:dyDescent="0.25">
      <c r="C5038" s="37"/>
    </row>
    <row r="5039" spans="3:3" x14ac:dyDescent="0.25">
      <c r="C5039" s="37"/>
    </row>
    <row r="5040" spans="3:3" x14ac:dyDescent="0.25">
      <c r="C5040" s="37"/>
    </row>
    <row r="5041" spans="3:3" x14ac:dyDescent="0.25">
      <c r="C5041" s="37"/>
    </row>
    <row r="5042" spans="3:3" x14ac:dyDescent="0.25">
      <c r="C5042" s="37"/>
    </row>
    <row r="5043" spans="3:3" x14ac:dyDescent="0.25">
      <c r="C5043" s="37"/>
    </row>
    <row r="5044" spans="3:3" x14ac:dyDescent="0.25">
      <c r="C5044" s="37"/>
    </row>
    <row r="5045" spans="3:3" x14ac:dyDescent="0.25">
      <c r="C5045" s="37"/>
    </row>
    <row r="5046" spans="3:3" x14ac:dyDescent="0.25">
      <c r="C5046" s="37"/>
    </row>
    <row r="5047" spans="3:3" x14ac:dyDescent="0.25">
      <c r="C5047" s="37"/>
    </row>
    <row r="5048" spans="3:3" x14ac:dyDescent="0.25">
      <c r="C5048" s="37"/>
    </row>
    <row r="5049" spans="3:3" x14ac:dyDescent="0.25">
      <c r="C5049" s="37"/>
    </row>
    <row r="5050" spans="3:3" x14ac:dyDescent="0.25">
      <c r="C5050" s="37"/>
    </row>
    <row r="5051" spans="3:3" x14ac:dyDescent="0.25">
      <c r="C5051" s="37"/>
    </row>
    <row r="5052" spans="3:3" x14ac:dyDescent="0.25">
      <c r="C5052" s="37"/>
    </row>
    <row r="5053" spans="3:3" x14ac:dyDescent="0.25">
      <c r="C5053" s="37"/>
    </row>
    <row r="5054" spans="3:3" x14ac:dyDescent="0.25">
      <c r="C5054" s="37"/>
    </row>
    <row r="5055" spans="3:3" x14ac:dyDescent="0.25">
      <c r="C5055" s="37"/>
    </row>
    <row r="5056" spans="3:3" x14ac:dyDescent="0.25">
      <c r="C5056" s="37"/>
    </row>
    <row r="5057" spans="3:3" x14ac:dyDescent="0.25">
      <c r="C5057" s="37"/>
    </row>
    <row r="5058" spans="3:3" x14ac:dyDescent="0.25">
      <c r="C5058" s="37"/>
    </row>
    <row r="5059" spans="3:3" x14ac:dyDescent="0.25">
      <c r="C5059" s="37"/>
    </row>
    <row r="5060" spans="3:3" x14ac:dyDescent="0.25">
      <c r="C5060" s="37"/>
    </row>
    <row r="5061" spans="3:3" x14ac:dyDescent="0.25">
      <c r="C5061" s="37"/>
    </row>
    <row r="5062" spans="3:3" x14ac:dyDescent="0.25">
      <c r="C5062" s="37"/>
    </row>
    <row r="5063" spans="3:3" x14ac:dyDescent="0.25">
      <c r="C5063" s="37"/>
    </row>
    <row r="5064" spans="3:3" x14ac:dyDescent="0.25">
      <c r="C5064" s="37"/>
    </row>
    <row r="5065" spans="3:3" x14ac:dyDescent="0.25">
      <c r="C5065" s="37"/>
    </row>
    <row r="5066" spans="3:3" x14ac:dyDescent="0.25">
      <c r="C5066" s="37"/>
    </row>
    <row r="5067" spans="3:3" x14ac:dyDescent="0.25">
      <c r="C5067" s="37"/>
    </row>
    <row r="5068" spans="3:3" x14ac:dyDescent="0.25">
      <c r="C5068" s="37"/>
    </row>
    <row r="5069" spans="3:3" x14ac:dyDescent="0.25">
      <c r="C5069" s="37"/>
    </row>
    <row r="5070" spans="3:3" x14ac:dyDescent="0.25">
      <c r="C5070" s="37"/>
    </row>
    <row r="5071" spans="3:3" x14ac:dyDescent="0.25">
      <c r="C5071" s="37"/>
    </row>
    <row r="5072" spans="3:3" x14ac:dyDescent="0.25">
      <c r="C5072" s="37"/>
    </row>
    <row r="5073" spans="3:3" x14ac:dyDescent="0.25">
      <c r="C5073" s="37"/>
    </row>
    <row r="5074" spans="3:3" x14ac:dyDescent="0.25">
      <c r="C5074" s="37"/>
    </row>
    <row r="5075" spans="3:3" x14ac:dyDescent="0.25">
      <c r="C5075" s="37"/>
    </row>
    <row r="5076" spans="3:3" x14ac:dyDescent="0.25">
      <c r="C5076" s="37"/>
    </row>
    <row r="5077" spans="3:3" x14ac:dyDescent="0.25">
      <c r="C5077" s="37"/>
    </row>
    <row r="5078" spans="3:3" x14ac:dyDescent="0.25">
      <c r="C5078" s="37"/>
    </row>
    <row r="5079" spans="3:3" x14ac:dyDescent="0.25">
      <c r="C5079" s="37"/>
    </row>
    <row r="5080" spans="3:3" x14ac:dyDescent="0.25">
      <c r="C5080" s="37"/>
    </row>
    <row r="5081" spans="3:3" x14ac:dyDescent="0.25">
      <c r="C5081" s="37"/>
    </row>
    <row r="5082" spans="3:3" x14ac:dyDescent="0.25">
      <c r="C5082" s="37"/>
    </row>
    <row r="5083" spans="3:3" x14ac:dyDescent="0.25">
      <c r="C5083" s="37"/>
    </row>
    <row r="5084" spans="3:3" x14ac:dyDescent="0.25">
      <c r="C5084" s="37"/>
    </row>
    <row r="5085" spans="3:3" x14ac:dyDescent="0.25">
      <c r="C5085" s="37"/>
    </row>
    <row r="5086" spans="3:3" x14ac:dyDescent="0.25">
      <c r="C5086" s="37"/>
    </row>
    <row r="5087" spans="3:3" x14ac:dyDescent="0.25">
      <c r="C5087" s="37"/>
    </row>
    <row r="5088" spans="3:3" x14ac:dyDescent="0.25">
      <c r="C5088" s="37"/>
    </row>
    <row r="5089" spans="3:3" x14ac:dyDescent="0.25">
      <c r="C5089" s="37"/>
    </row>
    <row r="5090" spans="3:3" x14ac:dyDescent="0.25">
      <c r="C5090" s="37"/>
    </row>
    <row r="5091" spans="3:3" x14ac:dyDescent="0.25">
      <c r="C5091" s="37"/>
    </row>
    <row r="5092" spans="3:3" x14ac:dyDescent="0.25">
      <c r="C5092" s="37"/>
    </row>
    <row r="5093" spans="3:3" x14ac:dyDescent="0.25">
      <c r="C5093" s="37"/>
    </row>
    <row r="5094" spans="3:3" x14ac:dyDescent="0.25">
      <c r="C5094" s="37"/>
    </row>
    <row r="5095" spans="3:3" x14ac:dyDescent="0.25">
      <c r="C5095" s="37"/>
    </row>
    <row r="5096" spans="3:3" x14ac:dyDescent="0.25">
      <c r="C5096" s="37"/>
    </row>
    <row r="5097" spans="3:3" x14ac:dyDescent="0.25">
      <c r="C5097" s="37"/>
    </row>
    <row r="5098" spans="3:3" x14ac:dyDescent="0.25">
      <c r="C5098" s="37"/>
    </row>
    <row r="5099" spans="3:3" x14ac:dyDescent="0.25">
      <c r="C5099" s="37"/>
    </row>
    <row r="5100" spans="3:3" x14ac:dyDescent="0.25">
      <c r="C5100" s="37"/>
    </row>
    <row r="5101" spans="3:3" x14ac:dyDescent="0.25">
      <c r="C5101" s="37"/>
    </row>
    <row r="5102" spans="3:3" x14ac:dyDescent="0.25">
      <c r="C5102" s="37"/>
    </row>
    <row r="5103" spans="3:3" x14ac:dyDescent="0.25">
      <c r="C5103" s="37"/>
    </row>
    <row r="5104" spans="3:3" x14ac:dyDescent="0.25">
      <c r="C5104" s="37"/>
    </row>
    <row r="5105" spans="3:3" x14ac:dyDescent="0.25">
      <c r="C5105" s="37"/>
    </row>
    <row r="5106" spans="3:3" x14ac:dyDescent="0.25">
      <c r="C5106" s="37"/>
    </row>
    <row r="5107" spans="3:3" x14ac:dyDescent="0.25">
      <c r="C5107" s="37"/>
    </row>
    <row r="5108" spans="3:3" x14ac:dyDescent="0.25">
      <c r="C5108" s="37"/>
    </row>
    <row r="5109" spans="3:3" x14ac:dyDescent="0.25">
      <c r="C5109" s="37"/>
    </row>
    <row r="5110" spans="3:3" x14ac:dyDescent="0.25">
      <c r="C5110" s="37"/>
    </row>
    <row r="5111" spans="3:3" x14ac:dyDescent="0.25">
      <c r="C5111" s="37"/>
    </row>
    <row r="5112" spans="3:3" x14ac:dyDescent="0.25">
      <c r="C5112" s="37"/>
    </row>
    <row r="5113" spans="3:3" x14ac:dyDescent="0.25">
      <c r="C5113" s="37"/>
    </row>
    <row r="5114" spans="3:3" x14ac:dyDescent="0.25">
      <c r="C5114" s="37"/>
    </row>
    <row r="5115" spans="3:3" x14ac:dyDescent="0.25">
      <c r="C5115" s="37"/>
    </row>
    <row r="5116" spans="3:3" x14ac:dyDescent="0.25">
      <c r="C5116" s="37"/>
    </row>
    <row r="5117" spans="3:3" x14ac:dyDescent="0.25">
      <c r="C5117" s="37"/>
    </row>
    <row r="5118" spans="3:3" x14ac:dyDescent="0.25">
      <c r="C5118" s="37"/>
    </row>
    <row r="5119" spans="3:3" x14ac:dyDescent="0.25">
      <c r="C5119" s="37"/>
    </row>
    <row r="5120" spans="3:3" x14ac:dyDescent="0.25">
      <c r="C5120" s="37"/>
    </row>
    <row r="5121" spans="3:3" x14ac:dyDescent="0.25">
      <c r="C5121" s="37"/>
    </row>
    <row r="5122" spans="3:3" x14ac:dyDescent="0.25">
      <c r="C5122" s="37"/>
    </row>
    <row r="5123" spans="3:3" x14ac:dyDescent="0.25">
      <c r="C5123" s="37"/>
    </row>
    <row r="5124" spans="3:3" x14ac:dyDescent="0.25">
      <c r="C5124" s="37"/>
    </row>
    <row r="5125" spans="3:3" x14ac:dyDescent="0.25">
      <c r="C5125" s="37"/>
    </row>
    <row r="5126" spans="3:3" x14ac:dyDescent="0.25">
      <c r="C5126" s="37"/>
    </row>
    <row r="5127" spans="3:3" x14ac:dyDescent="0.25">
      <c r="C5127" s="37"/>
    </row>
    <row r="5128" spans="3:3" x14ac:dyDescent="0.25">
      <c r="C5128" s="37"/>
    </row>
    <row r="5129" spans="3:3" x14ac:dyDescent="0.25">
      <c r="C5129" s="37"/>
    </row>
    <row r="5130" spans="3:3" x14ac:dyDescent="0.25">
      <c r="C5130" s="37"/>
    </row>
    <row r="5131" spans="3:3" x14ac:dyDescent="0.25">
      <c r="C5131" s="37"/>
    </row>
    <row r="5132" spans="3:3" x14ac:dyDescent="0.25">
      <c r="C5132" s="37"/>
    </row>
    <row r="5133" spans="3:3" x14ac:dyDescent="0.25">
      <c r="C5133" s="37"/>
    </row>
    <row r="5134" spans="3:3" x14ac:dyDescent="0.25">
      <c r="C5134" s="37"/>
    </row>
    <row r="5135" spans="3:3" x14ac:dyDescent="0.25">
      <c r="C5135" s="37"/>
    </row>
    <row r="5136" spans="3:3" x14ac:dyDescent="0.25">
      <c r="C5136" s="37"/>
    </row>
    <row r="5137" spans="3:3" x14ac:dyDescent="0.25">
      <c r="C5137" s="37"/>
    </row>
    <row r="5138" spans="3:3" x14ac:dyDescent="0.25">
      <c r="C5138" s="37"/>
    </row>
    <row r="5139" spans="3:3" x14ac:dyDescent="0.25">
      <c r="C5139" s="37"/>
    </row>
    <row r="5140" spans="3:3" x14ac:dyDescent="0.25">
      <c r="C5140" s="37"/>
    </row>
    <row r="5141" spans="3:3" x14ac:dyDescent="0.25">
      <c r="C5141" s="37"/>
    </row>
    <row r="5142" spans="3:3" x14ac:dyDescent="0.25">
      <c r="C5142" s="37"/>
    </row>
    <row r="5143" spans="3:3" x14ac:dyDescent="0.25">
      <c r="C5143" s="37"/>
    </row>
    <row r="5144" spans="3:3" x14ac:dyDescent="0.25">
      <c r="C5144" s="37"/>
    </row>
    <row r="5145" spans="3:3" x14ac:dyDescent="0.25">
      <c r="C5145" s="37"/>
    </row>
    <row r="5146" spans="3:3" x14ac:dyDescent="0.25">
      <c r="C5146" s="37"/>
    </row>
    <row r="5147" spans="3:3" x14ac:dyDescent="0.25">
      <c r="C5147" s="37"/>
    </row>
    <row r="5148" spans="3:3" x14ac:dyDescent="0.25">
      <c r="C5148" s="37"/>
    </row>
    <row r="5149" spans="3:3" x14ac:dyDescent="0.25">
      <c r="C5149" s="37"/>
    </row>
    <row r="5150" spans="3:3" x14ac:dyDescent="0.25">
      <c r="C5150" s="37"/>
    </row>
    <row r="5151" spans="3:3" x14ac:dyDescent="0.25">
      <c r="C5151" s="37"/>
    </row>
    <row r="5152" spans="3:3" x14ac:dyDescent="0.25">
      <c r="C5152" s="37"/>
    </row>
    <row r="5153" spans="3:3" x14ac:dyDescent="0.25">
      <c r="C5153" s="37"/>
    </row>
    <row r="5154" spans="3:3" x14ac:dyDescent="0.25">
      <c r="C5154" s="37"/>
    </row>
    <row r="5155" spans="3:3" x14ac:dyDescent="0.25">
      <c r="C5155" s="37"/>
    </row>
    <row r="5156" spans="3:3" x14ac:dyDescent="0.25">
      <c r="C5156" s="37"/>
    </row>
    <row r="5157" spans="3:3" x14ac:dyDescent="0.25">
      <c r="C5157" s="37"/>
    </row>
    <row r="5158" spans="3:3" x14ac:dyDescent="0.25">
      <c r="C5158" s="37"/>
    </row>
    <row r="5159" spans="3:3" x14ac:dyDescent="0.25">
      <c r="C5159" s="37"/>
    </row>
    <row r="5160" spans="3:3" x14ac:dyDescent="0.25">
      <c r="C5160" s="37"/>
    </row>
    <row r="5161" spans="3:3" x14ac:dyDescent="0.25">
      <c r="C5161" s="37"/>
    </row>
    <row r="5162" spans="3:3" x14ac:dyDescent="0.25">
      <c r="C5162" s="37"/>
    </row>
    <row r="5163" spans="3:3" x14ac:dyDescent="0.25">
      <c r="C5163" s="37"/>
    </row>
    <row r="5164" spans="3:3" x14ac:dyDescent="0.25">
      <c r="C5164" s="37"/>
    </row>
    <row r="5165" spans="3:3" x14ac:dyDescent="0.25">
      <c r="C5165" s="37"/>
    </row>
    <row r="5166" spans="3:3" x14ac:dyDescent="0.25">
      <c r="C5166" s="37"/>
    </row>
    <row r="5167" spans="3:3" x14ac:dyDescent="0.25">
      <c r="C5167" s="37"/>
    </row>
    <row r="5168" spans="3:3" x14ac:dyDescent="0.25">
      <c r="C5168" s="37"/>
    </row>
    <row r="5169" spans="3:3" x14ac:dyDescent="0.25">
      <c r="C5169" s="37"/>
    </row>
    <row r="5170" spans="3:3" x14ac:dyDescent="0.25">
      <c r="C5170" s="37"/>
    </row>
    <row r="5171" spans="3:3" x14ac:dyDescent="0.25">
      <c r="C5171" s="37"/>
    </row>
    <row r="5172" spans="3:3" x14ac:dyDescent="0.25">
      <c r="C5172" s="37"/>
    </row>
    <row r="5173" spans="3:3" x14ac:dyDescent="0.25">
      <c r="C5173" s="37"/>
    </row>
    <row r="5174" spans="3:3" x14ac:dyDescent="0.25">
      <c r="C5174" s="37"/>
    </row>
    <row r="5175" spans="3:3" x14ac:dyDescent="0.25">
      <c r="C5175" s="37"/>
    </row>
    <row r="5176" spans="3:3" x14ac:dyDescent="0.25">
      <c r="C5176" s="37"/>
    </row>
    <row r="5177" spans="3:3" x14ac:dyDescent="0.25">
      <c r="C5177" s="37"/>
    </row>
    <row r="5178" spans="3:3" x14ac:dyDescent="0.25">
      <c r="C5178" s="37"/>
    </row>
    <row r="5179" spans="3:3" x14ac:dyDescent="0.25">
      <c r="C5179" s="37"/>
    </row>
    <row r="5180" spans="3:3" x14ac:dyDescent="0.25">
      <c r="C5180" s="37"/>
    </row>
    <row r="5181" spans="3:3" x14ac:dyDescent="0.25">
      <c r="C5181" s="37"/>
    </row>
    <row r="5182" spans="3:3" x14ac:dyDescent="0.25">
      <c r="C5182" s="37"/>
    </row>
    <row r="5183" spans="3:3" x14ac:dyDescent="0.25">
      <c r="C5183" s="37"/>
    </row>
    <row r="5184" spans="3:3" x14ac:dyDescent="0.25">
      <c r="C5184" s="37"/>
    </row>
    <row r="5185" spans="3:3" x14ac:dyDescent="0.25">
      <c r="C5185" s="37"/>
    </row>
    <row r="5186" spans="3:3" x14ac:dyDescent="0.25">
      <c r="C5186" s="37"/>
    </row>
    <row r="5187" spans="3:3" x14ac:dyDescent="0.25">
      <c r="C5187" s="37"/>
    </row>
    <row r="5188" spans="3:3" x14ac:dyDescent="0.25">
      <c r="C5188" s="37"/>
    </row>
    <row r="5189" spans="3:3" x14ac:dyDescent="0.25">
      <c r="C5189" s="37"/>
    </row>
    <row r="5190" spans="3:3" x14ac:dyDescent="0.25">
      <c r="C5190" s="37"/>
    </row>
    <row r="5191" spans="3:3" x14ac:dyDescent="0.25">
      <c r="C5191" s="37"/>
    </row>
    <row r="5192" spans="3:3" x14ac:dyDescent="0.25">
      <c r="C5192" s="37"/>
    </row>
    <row r="5193" spans="3:3" x14ac:dyDescent="0.25">
      <c r="C5193" s="37"/>
    </row>
    <row r="5194" spans="3:3" x14ac:dyDescent="0.25">
      <c r="C5194" s="37"/>
    </row>
    <row r="5195" spans="3:3" x14ac:dyDescent="0.25">
      <c r="C5195" s="37"/>
    </row>
    <row r="5196" spans="3:3" x14ac:dyDescent="0.25">
      <c r="C5196" s="37"/>
    </row>
    <row r="5197" spans="3:3" x14ac:dyDescent="0.25">
      <c r="C5197" s="37"/>
    </row>
    <row r="5198" spans="3:3" x14ac:dyDescent="0.25">
      <c r="C5198" s="37"/>
    </row>
    <row r="5199" spans="3:3" x14ac:dyDescent="0.25">
      <c r="C5199" s="37"/>
    </row>
    <row r="5200" spans="3:3" x14ac:dyDescent="0.25">
      <c r="C5200" s="37"/>
    </row>
    <row r="5201" spans="3:3" x14ac:dyDescent="0.25">
      <c r="C5201" s="37"/>
    </row>
    <row r="5202" spans="3:3" x14ac:dyDescent="0.25">
      <c r="C5202" s="37"/>
    </row>
    <row r="5203" spans="3:3" x14ac:dyDescent="0.25">
      <c r="C5203" s="37"/>
    </row>
    <row r="5204" spans="3:3" x14ac:dyDescent="0.25">
      <c r="C5204" s="37"/>
    </row>
    <row r="5205" spans="3:3" x14ac:dyDescent="0.25">
      <c r="C5205" s="37"/>
    </row>
    <row r="5206" spans="3:3" x14ac:dyDescent="0.25">
      <c r="C5206" s="37"/>
    </row>
    <row r="5207" spans="3:3" x14ac:dyDescent="0.25">
      <c r="C5207" s="37"/>
    </row>
    <row r="5208" spans="3:3" x14ac:dyDescent="0.25">
      <c r="C5208" s="37"/>
    </row>
    <row r="5209" spans="3:3" x14ac:dyDescent="0.25">
      <c r="C5209" s="37"/>
    </row>
    <row r="5210" spans="3:3" x14ac:dyDescent="0.25">
      <c r="C5210" s="37"/>
    </row>
    <row r="5211" spans="3:3" x14ac:dyDescent="0.25">
      <c r="C5211" s="37"/>
    </row>
    <row r="5212" spans="3:3" x14ac:dyDescent="0.25">
      <c r="C5212" s="37"/>
    </row>
    <row r="5213" spans="3:3" x14ac:dyDescent="0.25">
      <c r="C5213" s="37"/>
    </row>
    <row r="5214" spans="3:3" x14ac:dyDescent="0.25">
      <c r="C5214" s="37"/>
    </row>
    <row r="5215" spans="3:3" x14ac:dyDescent="0.25">
      <c r="C5215" s="37"/>
    </row>
    <row r="5216" spans="3:3" x14ac:dyDescent="0.25">
      <c r="C5216" s="37"/>
    </row>
    <row r="5217" spans="3:3" x14ac:dyDescent="0.25">
      <c r="C5217" s="37"/>
    </row>
    <row r="5218" spans="3:3" x14ac:dyDescent="0.25">
      <c r="C5218" s="37"/>
    </row>
    <row r="5219" spans="3:3" x14ac:dyDescent="0.25">
      <c r="C5219" s="37"/>
    </row>
    <row r="5220" spans="3:3" x14ac:dyDescent="0.25">
      <c r="C5220" s="37"/>
    </row>
    <row r="5221" spans="3:3" x14ac:dyDescent="0.25">
      <c r="C5221" s="37"/>
    </row>
    <row r="5222" spans="3:3" x14ac:dyDescent="0.25">
      <c r="C5222" s="37"/>
    </row>
    <row r="5223" spans="3:3" x14ac:dyDescent="0.25">
      <c r="C5223" s="37"/>
    </row>
    <row r="5224" spans="3:3" x14ac:dyDescent="0.25">
      <c r="C5224" s="37"/>
    </row>
    <row r="5225" spans="3:3" x14ac:dyDescent="0.25">
      <c r="C5225" s="37"/>
    </row>
    <row r="5226" spans="3:3" x14ac:dyDescent="0.25">
      <c r="C5226" s="37"/>
    </row>
    <row r="5227" spans="3:3" x14ac:dyDescent="0.25">
      <c r="C5227" s="37"/>
    </row>
    <row r="5228" spans="3:3" x14ac:dyDescent="0.25">
      <c r="C5228" s="37"/>
    </row>
    <row r="5229" spans="3:3" x14ac:dyDescent="0.25">
      <c r="C5229" s="37"/>
    </row>
    <row r="5230" spans="3:3" x14ac:dyDescent="0.25">
      <c r="C5230" s="37"/>
    </row>
    <row r="5231" spans="3:3" x14ac:dyDescent="0.25">
      <c r="C5231" s="37"/>
    </row>
    <row r="5232" spans="3:3" x14ac:dyDescent="0.25">
      <c r="C5232" s="37"/>
    </row>
    <row r="5233" spans="3:3" x14ac:dyDescent="0.25">
      <c r="C5233" s="37"/>
    </row>
    <row r="5234" spans="3:3" x14ac:dyDescent="0.25">
      <c r="C5234" s="37"/>
    </row>
    <row r="5235" spans="3:3" x14ac:dyDescent="0.25">
      <c r="C5235" s="37"/>
    </row>
    <row r="5236" spans="3:3" x14ac:dyDescent="0.25">
      <c r="C5236" s="37"/>
    </row>
    <row r="5237" spans="3:3" x14ac:dyDescent="0.25">
      <c r="C5237" s="37"/>
    </row>
    <row r="5238" spans="3:3" x14ac:dyDescent="0.25">
      <c r="C5238" s="37"/>
    </row>
    <row r="5239" spans="3:3" x14ac:dyDescent="0.25">
      <c r="C5239" s="37"/>
    </row>
    <row r="5240" spans="3:3" x14ac:dyDescent="0.25">
      <c r="C5240" s="37"/>
    </row>
    <row r="5241" spans="3:3" x14ac:dyDescent="0.25">
      <c r="C5241" s="37"/>
    </row>
    <row r="5242" spans="3:3" x14ac:dyDescent="0.25">
      <c r="C5242" s="37"/>
    </row>
    <row r="5243" spans="3:3" x14ac:dyDescent="0.25">
      <c r="C5243" s="37"/>
    </row>
    <row r="5244" spans="3:3" x14ac:dyDescent="0.25">
      <c r="C5244" s="37"/>
    </row>
    <row r="5245" spans="3:3" x14ac:dyDescent="0.25">
      <c r="C5245" s="37"/>
    </row>
    <row r="5246" spans="3:3" x14ac:dyDescent="0.25">
      <c r="C5246" s="37"/>
    </row>
    <row r="5247" spans="3:3" x14ac:dyDescent="0.25">
      <c r="C5247" s="37"/>
    </row>
    <row r="5248" spans="3:3" x14ac:dyDescent="0.25">
      <c r="C5248" s="37"/>
    </row>
    <row r="5249" spans="3:3" x14ac:dyDescent="0.25">
      <c r="C5249" s="37"/>
    </row>
    <row r="5250" spans="3:3" x14ac:dyDescent="0.25">
      <c r="C5250" s="37"/>
    </row>
    <row r="5251" spans="3:3" x14ac:dyDescent="0.25">
      <c r="C5251" s="37"/>
    </row>
    <row r="5252" spans="3:3" x14ac:dyDescent="0.25">
      <c r="C5252" s="37"/>
    </row>
    <row r="5253" spans="3:3" x14ac:dyDescent="0.25">
      <c r="C5253" s="37"/>
    </row>
    <row r="5254" spans="3:3" x14ac:dyDescent="0.25">
      <c r="C5254" s="37"/>
    </row>
    <row r="5255" spans="3:3" x14ac:dyDescent="0.25">
      <c r="C5255" s="37"/>
    </row>
    <row r="5256" spans="3:3" x14ac:dyDescent="0.25">
      <c r="C5256" s="37"/>
    </row>
    <row r="5257" spans="3:3" x14ac:dyDescent="0.25">
      <c r="C5257" s="37"/>
    </row>
    <row r="5258" spans="3:3" x14ac:dyDescent="0.25">
      <c r="C5258" s="37"/>
    </row>
    <row r="5259" spans="3:3" x14ac:dyDescent="0.25">
      <c r="C5259" s="37"/>
    </row>
    <row r="5260" spans="3:3" x14ac:dyDescent="0.25">
      <c r="C5260" s="37"/>
    </row>
    <row r="5261" spans="3:3" x14ac:dyDescent="0.25">
      <c r="C5261" s="37"/>
    </row>
    <row r="5262" spans="3:3" x14ac:dyDescent="0.25">
      <c r="C5262" s="37"/>
    </row>
    <row r="5263" spans="3:3" x14ac:dyDescent="0.25">
      <c r="C5263" s="37"/>
    </row>
    <row r="5264" spans="3:3" x14ac:dyDescent="0.25">
      <c r="C5264" s="37"/>
    </row>
    <row r="5265" spans="3:3" x14ac:dyDescent="0.25">
      <c r="C5265" s="37"/>
    </row>
    <row r="5266" spans="3:3" x14ac:dyDescent="0.25">
      <c r="C5266" s="37"/>
    </row>
    <row r="5267" spans="3:3" x14ac:dyDescent="0.25">
      <c r="C5267" s="37"/>
    </row>
    <row r="5268" spans="3:3" x14ac:dyDescent="0.25">
      <c r="C5268" s="37"/>
    </row>
    <row r="5269" spans="3:3" x14ac:dyDescent="0.25">
      <c r="C5269" s="37"/>
    </row>
    <row r="5270" spans="3:3" x14ac:dyDescent="0.25">
      <c r="C5270" s="37"/>
    </row>
    <row r="5271" spans="3:3" x14ac:dyDescent="0.25">
      <c r="C5271" s="37"/>
    </row>
    <row r="5272" spans="3:3" x14ac:dyDescent="0.25">
      <c r="C5272" s="37"/>
    </row>
    <row r="5273" spans="3:3" x14ac:dyDescent="0.25">
      <c r="C5273" s="37"/>
    </row>
    <row r="5274" spans="3:3" x14ac:dyDescent="0.25">
      <c r="C5274" s="37"/>
    </row>
    <row r="5275" spans="3:3" x14ac:dyDescent="0.25">
      <c r="C5275" s="37"/>
    </row>
    <row r="5276" spans="3:3" x14ac:dyDescent="0.25">
      <c r="C5276" s="37"/>
    </row>
    <row r="5277" spans="3:3" x14ac:dyDescent="0.25">
      <c r="C5277" s="37"/>
    </row>
    <row r="5278" spans="3:3" x14ac:dyDescent="0.25">
      <c r="C5278" s="37"/>
    </row>
    <row r="5279" spans="3:3" x14ac:dyDescent="0.25">
      <c r="C5279" s="37"/>
    </row>
    <row r="5280" spans="3:3" x14ac:dyDescent="0.25">
      <c r="C5280" s="37"/>
    </row>
    <row r="5281" spans="3:3" x14ac:dyDescent="0.25">
      <c r="C5281" s="37"/>
    </row>
    <row r="5282" spans="3:3" x14ac:dyDescent="0.25">
      <c r="C5282" s="37"/>
    </row>
    <row r="5283" spans="3:3" x14ac:dyDescent="0.25">
      <c r="C5283" s="37"/>
    </row>
    <row r="5284" spans="3:3" x14ac:dyDescent="0.25">
      <c r="C5284" s="37"/>
    </row>
    <row r="5285" spans="3:3" x14ac:dyDescent="0.25">
      <c r="C5285" s="37"/>
    </row>
    <row r="5286" spans="3:3" x14ac:dyDescent="0.25">
      <c r="C5286" s="37"/>
    </row>
    <row r="5287" spans="3:3" x14ac:dyDescent="0.25">
      <c r="C5287" s="37"/>
    </row>
    <row r="5288" spans="3:3" x14ac:dyDescent="0.25">
      <c r="C5288" s="37"/>
    </row>
    <row r="5289" spans="3:3" x14ac:dyDescent="0.25">
      <c r="C5289" s="37"/>
    </row>
    <row r="5290" spans="3:3" x14ac:dyDescent="0.25">
      <c r="C5290" s="37"/>
    </row>
    <row r="5291" spans="3:3" x14ac:dyDescent="0.25">
      <c r="C5291" s="37"/>
    </row>
    <row r="5292" spans="3:3" x14ac:dyDescent="0.25">
      <c r="C5292" s="37"/>
    </row>
    <row r="5293" spans="3:3" x14ac:dyDescent="0.25">
      <c r="C5293" s="37"/>
    </row>
    <row r="5294" spans="3:3" x14ac:dyDescent="0.25">
      <c r="C5294" s="37"/>
    </row>
    <row r="5295" spans="3:3" x14ac:dyDescent="0.25">
      <c r="C5295" s="37"/>
    </row>
    <row r="5296" spans="3:3" x14ac:dyDescent="0.25">
      <c r="C5296" s="37"/>
    </row>
    <row r="5297" spans="3:3" x14ac:dyDescent="0.25">
      <c r="C5297" s="37"/>
    </row>
    <row r="5298" spans="3:3" x14ac:dyDescent="0.25">
      <c r="C5298" s="37"/>
    </row>
    <row r="5299" spans="3:3" x14ac:dyDescent="0.25">
      <c r="C5299" s="37"/>
    </row>
    <row r="5300" spans="3:3" x14ac:dyDescent="0.25">
      <c r="C5300" s="37"/>
    </row>
    <row r="5301" spans="3:3" x14ac:dyDescent="0.25">
      <c r="C5301" s="37"/>
    </row>
    <row r="5302" spans="3:3" x14ac:dyDescent="0.25">
      <c r="C5302" s="37"/>
    </row>
    <row r="5303" spans="3:3" x14ac:dyDescent="0.25">
      <c r="C5303" s="37"/>
    </row>
    <row r="5304" spans="3:3" x14ac:dyDescent="0.25">
      <c r="C5304" s="37"/>
    </row>
    <row r="5305" spans="3:3" x14ac:dyDescent="0.25">
      <c r="C5305" s="37"/>
    </row>
    <row r="5306" spans="3:3" x14ac:dyDescent="0.25">
      <c r="C5306" s="37"/>
    </row>
    <row r="5307" spans="3:3" x14ac:dyDescent="0.25">
      <c r="C5307" s="37"/>
    </row>
    <row r="5308" spans="3:3" x14ac:dyDescent="0.25">
      <c r="C5308" s="37"/>
    </row>
    <row r="5309" spans="3:3" x14ac:dyDescent="0.25">
      <c r="C5309" s="37"/>
    </row>
    <row r="5310" spans="3:3" x14ac:dyDescent="0.25">
      <c r="C5310" s="37"/>
    </row>
    <row r="5311" spans="3:3" x14ac:dyDescent="0.25">
      <c r="C5311" s="37"/>
    </row>
    <row r="5312" spans="3:3" x14ac:dyDescent="0.25">
      <c r="C5312" s="37"/>
    </row>
    <row r="5313" spans="3:3" x14ac:dyDescent="0.25">
      <c r="C5313" s="37"/>
    </row>
    <row r="5314" spans="3:3" x14ac:dyDescent="0.25">
      <c r="C5314" s="37"/>
    </row>
    <row r="5315" spans="3:3" x14ac:dyDescent="0.25">
      <c r="C5315" s="37"/>
    </row>
    <row r="5316" spans="3:3" x14ac:dyDescent="0.25">
      <c r="C5316" s="37"/>
    </row>
    <row r="5317" spans="3:3" x14ac:dyDescent="0.25">
      <c r="C5317" s="37"/>
    </row>
    <row r="5318" spans="3:3" x14ac:dyDescent="0.25">
      <c r="C5318" s="37"/>
    </row>
    <row r="5319" spans="3:3" x14ac:dyDescent="0.25">
      <c r="C5319" s="37"/>
    </row>
    <row r="5320" spans="3:3" x14ac:dyDescent="0.25">
      <c r="C5320" s="37"/>
    </row>
    <row r="5321" spans="3:3" x14ac:dyDescent="0.25">
      <c r="C5321" s="37"/>
    </row>
    <row r="5322" spans="3:3" x14ac:dyDescent="0.25">
      <c r="C5322" s="37"/>
    </row>
    <row r="5323" spans="3:3" x14ac:dyDescent="0.25">
      <c r="C5323" s="37"/>
    </row>
    <row r="5324" spans="3:3" x14ac:dyDescent="0.25">
      <c r="C5324" s="37"/>
    </row>
    <row r="5325" spans="3:3" x14ac:dyDescent="0.25">
      <c r="C5325" s="37"/>
    </row>
    <row r="5326" spans="3:3" x14ac:dyDescent="0.25">
      <c r="C5326" s="37"/>
    </row>
    <row r="5327" spans="3:3" x14ac:dyDescent="0.25">
      <c r="C5327" s="37"/>
    </row>
    <row r="5328" spans="3:3" x14ac:dyDescent="0.25">
      <c r="C5328" s="37"/>
    </row>
    <row r="5329" spans="3:3" x14ac:dyDescent="0.25">
      <c r="C5329" s="37"/>
    </row>
    <row r="5330" spans="3:3" x14ac:dyDescent="0.25">
      <c r="C5330" s="37"/>
    </row>
    <row r="5331" spans="3:3" x14ac:dyDescent="0.25">
      <c r="C5331" s="37"/>
    </row>
    <row r="5332" spans="3:3" x14ac:dyDescent="0.25">
      <c r="C5332" s="37"/>
    </row>
    <row r="5333" spans="3:3" x14ac:dyDescent="0.25">
      <c r="C5333" s="37"/>
    </row>
    <row r="5334" spans="3:3" x14ac:dyDescent="0.25">
      <c r="C5334" s="37"/>
    </row>
    <row r="5335" spans="3:3" x14ac:dyDescent="0.25">
      <c r="C5335" s="37"/>
    </row>
    <row r="5336" spans="3:3" x14ac:dyDescent="0.25">
      <c r="C5336" s="37"/>
    </row>
    <row r="5337" spans="3:3" x14ac:dyDescent="0.25">
      <c r="C5337" s="37"/>
    </row>
    <row r="5338" spans="3:3" x14ac:dyDescent="0.25">
      <c r="C5338" s="37"/>
    </row>
    <row r="5339" spans="3:3" x14ac:dyDescent="0.25">
      <c r="C5339" s="37"/>
    </row>
    <row r="5340" spans="3:3" x14ac:dyDescent="0.25">
      <c r="C5340" s="37"/>
    </row>
    <row r="5341" spans="3:3" x14ac:dyDescent="0.25">
      <c r="C5341" s="37"/>
    </row>
    <row r="5342" spans="3:3" x14ac:dyDescent="0.25">
      <c r="C5342" s="37"/>
    </row>
    <row r="5343" spans="3:3" x14ac:dyDescent="0.25">
      <c r="C5343" s="37"/>
    </row>
    <row r="5344" spans="3:3" x14ac:dyDescent="0.25">
      <c r="C5344" s="37"/>
    </row>
    <row r="5345" spans="3:3" x14ac:dyDescent="0.25">
      <c r="C5345" s="37"/>
    </row>
    <row r="5346" spans="3:3" x14ac:dyDescent="0.25">
      <c r="C5346" s="37"/>
    </row>
    <row r="5347" spans="3:3" x14ac:dyDescent="0.25">
      <c r="C5347" s="37"/>
    </row>
    <row r="5348" spans="3:3" x14ac:dyDescent="0.25">
      <c r="C5348" s="37"/>
    </row>
    <row r="5349" spans="3:3" x14ac:dyDescent="0.25">
      <c r="C5349" s="37"/>
    </row>
    <row r="5350" spans="3:3" x14ac:dyDescent="0.25">
      <c r="C5350" s="37"/>
    </row>
    <row r="5351" spans="3:3" x14ac:dyDescent="0.25">
      <c r="C5351" s="37"/>
    </row>
    <row r="5352" spans="3:3" x14ac:dyDescent="0.25">
      <c r="C5352" s="37"/>
    </row>
    <row r="5353" spans="3:3" x14ac:dyDescent="0.25">
      <c r="C5353" s="37"/>
    </row>
    <row r="5354" spans="3:3" x14ac:dyDescent="0.25">
      <c r="C5354" s="37"/>
    </row>
    <row r="5355" spans="3:3" x14ac:dyDescent="0.25">
      <c r="C5355" s="37"/>
    </row>
    <row r="5356" spans="3:3" x14ac:dyDescent="0.25">
      <c r="C5356" s="37"/>
    </row>
    <row r="5357" spans="3:3" x14ac:dyDescent="0.25">
      <c r="C5357" s="37"/>
    </row>
    <row r="5358" spans="3:3" x14ac:dyDescent="0.25">
      <c r="C5358" s="37"/>
    </row>
    <row r="5359" spans="3:3" x14ac:dyDescent="0.25">
      <c r="C5359" s="37"/>
    </row>
    <row r="5360" spans="3:3" x14ac:dyDescent="0.25">
      <c r="C5360" s="37"/>
    </row>
    <row r="5361" spans="3:3" x14ac:dyDescent="0.25">
      <c r="C5361" s="37"/>
    </row>
    <row r="5362" spans="3:3" x14ac:dyDescent="0.25">
      <c r="C5362" s="37"/>
    </row>
    <row r="5363" spans="3:3" x14ac:dyDescent="0.25">
      <c r="C5363" s="37"/>
    </row>
    <row r="5364" spans="3:3" x14ac:dyDescent="0.25">
      <c r="C5364" s="37"/>
    </row>
    <row r="5365" spans="3:3" x14ac:dyDescent="0.25">
      <c r="C5365" s="37"/>
    </row>
    <row r="5366" spans="3:3" x14ac:dyDescent="0.25">
      <c r="C5366" s="37"/>
    </row>
    <row r="5367" spans="3:3" x14ac:dyDescent="0.25">
      <c r="C5367" s="37"/>
    </row>
    <row r="5368" spans="3:3" x14ac:dyDescent="0.25">
      <c r="C5368" s="37"/>
    </row>
    <row r="5369" spans="3:3" x14ac:dyDescent="0.25">
      <c r="C5369" s="37"/>
    </row>
    <row r="5370" spans="3:3" x14ac:dyDescent="0.25">
      <c r="C5370" s="37"/>
    </row>
    <row r="5371" spans="3:3" x14ac:dyDescent="0.25">
      <c r="C5371" s="37"/>
    </row>
    <row r="5372" spans="3:3" x14ac:dyDescent="0.25">
      <c r="C5372" s="37"/>
    </row>
    <row r="5373" spans="3:3" x14ac:dyDescent="0.25">
      <c r="C5373" s="37"/>
    </row>
    <row r="5374" spans="3:3" x14ac:dyDescent="0.25">
      <c r="C5374" s="37"/>
    </row>
    <row r="5375" spans="3:3" x14ac:dyDescent="0.25">
      <c r="C5375" s="37"/>
    </row>
    <row r="5376" spans="3:3" x14ac:dyDescent="0.25">
      <c r="C5376" s="37"/>
    </row>
    <row r="5377" spans="3:3" x14ac:dyDescent="0.25">
      <c r="C5377" s="37"/>
    </row>
    <row r="5378" spans="3:3" x14ac:dyDescent="0.25">
      <c r="C5378" s="37"/>
    </row>
    <row r="5379" spans="3:3" x14ac:dyDescent="0.25">
      <c r="C5379" s="37"/>
    </row>
    <row r="5380" spans="3:3" x14ac:dyDescent="0.25">
      <c r="C5380" s="37"/>
    </row>
    <row r="5381" spans="3:3" x14ac:dyDescent="0.25">
      <c r="C5381" s="37"/>
    </row>
    <row r="5382" spans="3:3" x14ac:dyDescent="0.25">
      <c r="C5382" s="37"/>
    </row>
    <row r="5383" spans="3:3" x14ac:dyDescent="0.25">
      <c r="C5383" s="37"/>
    </row>
    <row r="5384" spans="3:3" x14ac:dyDescent="0.25">
      <c r="C5384" s="37"/>
    </row>
    <row r="5385" spans="3:3" x14ac:dyDescent="0.25">
      <c r="C5385" s="37"/>
    </row>
    <row r="5386" spans="3:3" x14ac:dyDescent="0.25">
      <c r="C5386" s="37"/>
    </row>
    <row r="5387" spans="3:3" x14ac:dyDescent="0.25">
      <c r="C5387" s="37"/>
    </row>
    <row r="5388" spans="3:3" x14ac:dyDescent="0.25">
      <c r="C5388" s="37"/>
    </row>
    <row r="5389" spans="3:3" x14ac:dyDescent="0.25">
      <c r="C5389" s="37"/>
    </row>
    <row r="5390" spans="3:3" x14ac:dyDescent="0.25">
      <c r="C5390" s="37"/>
    </row>
    <row r="5391" spans="3:3" x14ac:dyDescent="0.25">
      <c r="C5391" s="37"/>
    </row>
    <row r="5392" spans="3:3" x14ac:dyDescent="0.25">
      <c r="C5392" s="37"/>
    </row>
    <row r="5393" spans="3:3" x14ac:dyDescent="0.25">
      <c r="C5393" s="37"/>
    </row>
    <row r="5394" spans="3:3" x14ac:dyDescent="0.25">
      <c r="C5394" s="37"/>
    </row>
  </sheetData>
  <mergeCells count="1">
    <mergeCell ref="A1:C1"/>
  </mergeCells>
  <pageMargins left="0.7" right="0.7" top="0.75" bottom="0.75" header="0.3" footer="0.3"/>
  <pageSetup paperSize="9" orientation="portrait" r:id="rId1"/>
  <headerFooter>
    <oddFooter>&amp;L&amp;1#&amp;"Calibri"&amp;10&amp;K000000INTERNAL USE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Dropdowns!$A$2:$A$3</xm:f>
          </x14:formula1>
          <xm:sqref>C4:C5394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
  <sheetViews>
    <sheetView workbookViewId="0">
      <selection activeCell="B7" sqref="B7"/>
    </sheetView>
  </sheetViews>
  <sheetFormatPr defaultRowHeight="12.5" x14ac:dyDescent="0.25"/>
  <cols>
    <col min="1" max="1" width="10.36328125" bestFit="1" customWidth="1"/>
    <col min="2" max="2" width="32.453125" bestFit="1" customWidth="1"/>
    <col min="3" max="3" width="8.453125" bestFit="1" customWidth="1"/>
    <col min="4" max="5" width="14.54296875" bestFit="1" customWidth="1"/>
  </cols>
  <sheetData>
    <row r="1" spans="1:5" ht="15.5" thickTop="1" thickBot="1" x14ac:dyDescent="0.4">
      <c r="A1" s="40" t="s">
        <v>204</v>
      </c>
      <c r="B1" s="40" t="s">
        <v>205</v>
      </c>
      <c r="C1" s="40" t="s">
        <v>199</v>
      </c>
      <c r="D1" s="40" t="s">
        <v>200</v>
      </c>
      <c r="E1" s="40" t="s">
        <v>201</v>
      </c>
    </row>
    <row r="2" spans="1:5" ht="13" thickTop="1" x14ac:dyDescent="0.25">
      <c r="A2" s="42">
        <v>43872</v>
      </c>
      <c r="B2" s="43" t="s">
        <v>206</v>
      </c>
      <c r="C2" s="44">
        <v>1</v>
      </c>
      <c r="D2" s="43" t="s">
        <v>203</v>
      </c>
      <c r="E2" s="43" t="s">
        <v>202</v>
      </c>
    </row>
    <row r="3" spans="1:5" ht="25" x14ac:dyDescent="0.25">
      <c r="A3" s="42">
        <v>43923</v>
      </c>
      <c r="B3" s="45" t="s">
        <v>214</v>
      </c>
      <c r="C3" s="44">
        <v>2</v>
      </c>
      <c r="D3" s="43" t="s">
        <v>202</v>
      </c>
      <c r="E3" s="43" t="s">
        <v>203</v>
      </c>
    </row>
    <row r="4" spans="1:5" ht="25" x14ac:dyDescent="0.25">
      <c r="A4" s="47">
        <v>43958</v>
      </c>
      <c r="B4" s="10" t="s">
        <v>223</v>
      </c>
      <c r="C4">
        <v>3</v>
      </c>
      <c r="D4" s="43" t="s">
        <v>203</v>
      </c>
      <c r="E4" s="43" t="s">
        <v>202</v>
      </c>
    </row>
    <row r="5" spans="1:5" x14ac:dyDescent="0.25">
      <c r="A5" s="47">
        <v>43969</v>
      </c>
      <c r="B5" t="s">
        <v>226</v>
      </c>
      <c r="C5">
        <v>4</v>
      </c>
      <c r="D5" s="43" t="s">
        <v>203</v>
      </c>
      <c r="E5" s="43" t="s">
        <v>227</v>
      </c>
    </row>
    <row r="6" spans="1:5" x14ac:dyDescent="0.25">
      <c r="A6" s="47">
        <v>44360</v>
      </c>
      <c r="B6" t="s">
        <v>242</v>
      </c>
      <c r="C6">
        <v>5</v>
      </c>
      <c r="D6" s="43" t="s">
        <v>243</v>
      </c>
      <c r="E6" s="43" t="s">
        <v>203</v>
      </c>
    </row>
  </sheetData>
  <pageMargins left="0.7" right="0.7" top="0.75" bottom="0.75" header="0.3" footer="0.3"/>
  <pageSetup paperSize="9" orientation="portrait" r:id="rId1"/>
  <headerFooter>
    <oddFooter>&amp;L&amp;1#&amp;"Calibri"&amp;10&amp;K000000INTERNAL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F26"/>
  <sheetViews>
    <sheetView workbookViewId="0">
      <selection activeCell="C34" sqref="C34"/>
    </sheetView>
  </sheetViews>
  <sheetFormatPr defaultColWidth="11.453125" defaultRowHeight="12.5" x14ac:dyDescent="0.25"/>
  <cols>
    <col min="1" max="1" width="3.36328125" customWidth="1"/>
    <col min="2" max="2" width="59.54296875" bestFit="1" customWidth="1"/>
    <col min="3" max="4" width="21.54296875" bestFit="1" customWidth="1"/>
    <col min="5" max="5" width="72.36328125" bestFit="1" customWidth="1"/>
    <col min="6" max="6" width="14.54296875" bestFit="1" customWidth="1"/>
  </cols>
  <sheetData>
    <row r="3" spans="2:6" ht="17.5" x14ac:dyDescent="0.25">
      <c r="B3" s="11" t="s">
        <v>50</v>
      </c>
    </row>
    <row r="4" spans="2:6" ht="13.5" x14ac:dyDescent="0.25">
      <c r="B4" s="12" t="s">
        <v>69</v>
      </c>
    </row>
    <row r="5" spans="2:6" ht="13.5" x14ac:dyDescent="0.25">
      <c r="B5" s="13" t="s">
        <v>70</v>
      </c>
    </row>
    <row r="6" spans="2:6" ht="13.5" x14ac:dyDescent="0.25">
      <c r="B6" s="13"/>
    </row>
    <row r="7" spans="2:6" ht="14" thickBot="1" x14ac:dyDescent="0.3">
      <c r="B7" s="13" t="s">
        <v>51</v>
      </c>
    </row>
    <row r="8" spans="2:6" ht="14" thickBot="1" x14ac:dyDescent="0.3">
      <c r="B8" s="23" t="s">
        <v>52</v>
      </c>
      <c r="C8" s="14" t="s">
        <v>71</v>
      </c>
      <c r="D8" s="22"/>
    </row>
    <row r="9" spans="2:6" ht="13.5" x14ac:dyDescent="0.25">
      <c r="B9" s="13"/>
    </row>
    <row r="10" spans="2:6" ht="14" thickBot="1" x14ac:dyDescent="0.3">
      <c r="B10" s="13" t="s">
        <v>73</v>
      </c>
    </row>
    <row r="11" spans="2:6" ht="14" thickBot="1" x14ac:dyDescent="0.3">
      <c r="B11" s="15" t="s">
        <v>53</v>
      </c>
      <c r="C11" s="16" t="s">
        <v>54</v>
      </c>
      <c r="D11" s="16" t="s">
        <v>75</v>
      </c>
      <c r="E11" s="16" t="s">
        <v>55</v>
      </c>
      <c r="F11" s="16" t="s">
        <v>56</v>
      </c>
    </row>
    <row r="12" spans="2:6" ht="14" thickBot="1" x14ac:dyDescent="0.3">
      <c r="B12" s="17" t="s">
        <v>57</v>
      </c>
      <c r="C12" s="21">
        <v>40829</v>
      </c>
      <c r="D12" s="21" t="s">
        <v>62</v>
      </c>
      <c r="E12" s="18" t="s">
        <v>74</v>
      </c>
      <c r="F12" s="19"/>
    </row>
    <row r="13" spans="2:6" ht="13.5" x14ac:dyDescent="0.25">
      <c r="B13" s="13"/>
    </row>
    <row r="14" spans="2:6" ht="14" thickBot="1" x14ac:dyDescent="0.3">
      <c r="B14" s="13" t="s">
        <v>58</v>
      </c>
    </row>
    <row r="15" spans="2:6" ht="14" thickBot="1" x14ac:dyDescent="0.3">
      <c r="B15" s="15" t="s">
        <v>59</v>
      </c>
      <c r="C15" s="16" t="s">
        <v>1</v>
      </c>
      <c r="D15" s="100" t="s">
        <v>60</v>
      </c>
      <c r="E15" s="101"/>
    </row>
    <row r="16" spans="2:6" ht="14" thickBot="1" x14ac:dyDescent="0.3">
      <c r="B16" s="20" t="s">
        <v>61</v>
      </c>
      <c r="C16" s="18" t="s">
        <v>62</v>
      </c>
      <c r="D16" s="102" t="s">
        <v>63</v>
      </c>
      <c r="E16" s="103"/>
    </row>
    <row r="17" spans="2:5" ht="14" thickBot="1" x14ac:dyDescent="0.3">
      <c r="B17" s="20" t="s">
        <v>64</v>
      </c>
      <c r="C17" s="18" t="s">
        <v>62</v>
      </c>
      <c r="D17" s="102" t="s">
        <v>63</v>
      </c>
      <c r="E17" s="103"/>
    </row>
    <row r="18" spans="2:5" ht="14" thickBot="1" x14ac:dyDescent="0.3">
      <c r="B18" s="20" t="s">
        <v>23</v>
      </c>
      <c r="C18" s="18" t="s">
        <v>62</v>
      </c>
      <c r="D18" s="102" t="s">
        <v>63</v>
      </c>
      <c r="E18" s="103"/>
    </row>
    <row r="19" spans="2:5" ht="13.5" x14ac:dyDescent="0.25">
      <c r="B19" s="13"/>
    </row>
    <row r="20" spans="2:5" ht="14" thickBot="1" x14ac:dyDescent="0.3">
      <c r="B20" s="13" t="s">
        <v>65</v>
      </c>
    </row>
    <row r="21" spans="2:5" ht="14" thickBot="1" x14ac:dyDescent="0.3">
      <c r="B21" s="15" t="s">
        <v>1</v>
      </c>
    </row>
    <row r="22" spans="2:5" ht="14" thickBot="1" x14ac:dyDescent="0.3">
      <c r="B22" s="17" t="s">
        <v>72</v>
      </c>
    </row>
    <row r="23" spans="2:5" ht="13.5" x14ac:dyDescent="0.25">
      <c r="B23" s="13"/>
    </row>
    <row r="24" spans="2:5" ht="14" thickBot="1" x14ac:dyDescent="0.3">
      <c r="B24" s="13" t="s">
        <v>66</v>
      </c>
    </row>
    <row r="25" spans="2:5" ht="14" thickBot="1" x14ac:dyDescent="0.3">
      <c r="B25" s="15" t="s">
        <v>67</v>
      </c>
      <c r="C25" s="16" t="s">
        <v>68</v>
      </c>
      <c r="D25" s="16" t="s">
        <v>53</v>
      </c>
    </row>
    <row r="26" spans="2:5" ht="14" thickBot="1" x14ac:dyDescent="0.3">
      <c r="B26" s="17" t="s">
        <v>76</v>
      </c>
      <c r="C26" s="18" t="s">
        <v>77</v>
      </c>
      <c r="D26" s="19" t="s">
        <v>77</v>
      </c>
    </row>
  </sheetData>
  <mergeCells count="4">
    <mergeCell ref="D15:E15"/>
    <mergeCell ref="D16:E16"/>
    <mergeCell ref="D17:E17"/>
    <mergeCell ref="D18:E18"/>
  </mergeCells>
  <phoneticPr fontId="3" type="noConversion"/>
  <pageMargins left="0.7" right="0.7" top="0.75" bottom="0.75" header="0.3" footer="0.3"/>
  <pageSetup paperSize="9" orientation="portrait" r:id="rId1"/>
  <headerFooter>
    <oddFooter>&amp;L&amp;1#&amp;"Calibri"&amp;10&amp;K000000INTERNAL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00BEFF26FBBA41A8694D40D79264D3" ma:contentTypeVersion="12" ma:contentTypeDescription="Create a new document." ma:contentTypeScope="" ma:versionID="24c164e7433f43c25fdae19a8bf6e75b">
  <xsd:schema xmlns:xsd="http://www.w3.org/2001/XMLSchema" xmlns:xs="http://www.w3.org/2001/XMLSchema" xmlns:p="http://schemas.microsoft.com/office/2006/metadata/properties" xmlns:ns3="135d2c30-fd6c-4178-9e80-203d3d887fd0" xmlns:ns4="03284768-eb13-4c3d-b882-f0579e9e1188" targetNamespace="http://schemas.microsoft.com/office/2006/metadata/properties" ma:root="true" ma:fieldsID="05e415e3d7e6b3b498f0c168c09df34b" ns3:_="" ns4:_="">
    <xsd:import namespace="135d2c30-fd6c-4178-9e80-203d3d887fd0"/>
    <xsd:import namespace="03284768-eb13-4c3d-b882-f0579e9e118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5d2c30-fd6c-4178-9e80-203d3d887fd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284768-eb13-4c3d-b882-f0579e9e118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2F29C3-DB01-4601-99BC-90531A6431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5d2c30-fd6c-4178-9e80-203d3d887fd0"/>
    <ds:schemaRef ds:uri="03284768-eb13-4c3d-b882-f0579e9e11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595759-C93F-4CD0-A8EB-4767F07EA7B8}">
  <ds:schemaRefs>
    <ds:schemaRef ds:uri="03284768-eb13-4c3d-b882-f0579e9e1188"/>
    <ds:schemaRef ds:uri="http://purl.org/dc/elements/1.1/"/>
    <ds:schemaRef ds:uri="http://schemas.microsoft.com/office/2006/metadata/properties"/>
    <ds:schemaRef ds:uri="135d2c30-fd6c-4178-9e80-203d3d887fd0"/>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72F7E0EB-3E1C-4262-A68F-3091F4F5C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CreateUser</vt:lpstr>
      <vt:lpstr>ModifyUser</vt:lpstr>
      <vt:lpstr>O365Licence</vt:lpstr>
      <vt:lpstr>Dropdowns</vt:lpstr>
      <vt:lpstr>CreateGroup</vt:lpstr>
      <vt:lpstr>ModifyGroup</vt:lpstr>
      <vt:lpstr>Suspend</vt:lpstr>
      <vt:lpstr>ResetPwd</vt:lpstr>
      <vt:lpstr>ProlongPwd</vt:lpstr>
      <vt:lpstr>Folder Permissions</vt:lpstr>
      <vt:lpstr>Reporting</vt:lpstr>
      <vt:lpstr>GroupMigrations </vt:lpstr>
      <vt:lpstr>UserMigrations</vt:lpstr>
      <vt:lpstr>ServiceAccountMigrations</vt:lpstr>
      <vt:lpstr>DeleteGroup</vt:lpstr>
      <vt:lpstr>Version control</vt:lpstr>
      <vt:lpstr>Control-Version-Change</vt:lpstr>
      <vt:lpstr>'Control-Version-Change'!_Toc254508019</vt:lpstr>
    </vt:vector>
  </TitlesOfParts>
  <Company>ZFS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chy0725</dc:creator>
  <cp:lastModifiedBy>Yelleti, Haritha</cp:lastModifiedBy>
  <dcterms:created xsi:type="dcterms:W3CDTF">2008-01-08T16:57:05Z</dcterms:created>
  <dcterms:modified xsi:type="dcterms:W3CDTF">2026-01-02T12:24:56Z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0x0101006100BEFF26FBBA41A8694D40D79264D3</vt:lpwstr>
  </property>
  <property fmtid="{D5CDD505-2E9C-101B-9397-08002B2CF9AE}" pid="3" name="MSIP_Label_9108d454-5c13-4905-93be-12ec8059c842_Enabled">
    <vt:lpwstr>true</vt:lpwstr>
  </property>
  <property fmtid="{D5CDD505-2E9C-101B-9397-08002B2CF9AE}" pid="4" name="MSIP_Label_9108d454-5c13-4905-93be-12ec8059c842_SetDate">
    <vt:lpwstr>2023-05-16T13:20:20Z</vt:lpwstr>
  </property>
  <property fmtid="{D5CDD505-2E9C-101B-9397-08002B2CF9AE}" pid="5" name="MSIP_Label_9108d454-5c13-4905-93be-12ec8059c842_Method">
    <vt:lpwstr>Standard</vt:lpwstr>
  </property>
  <property fmtid="{D5CDD505-2E9C-101B-9397-08002B2CF9AE}" pid="6" name="MSIP_Label_9108d454-5c13-4905-93be-12ec8059c842_Name">
    <vt:lpwstr>9108d454-5c13-4905-93be-12ec8059c842</vt:lpwstr>
  </property>
  <property fmtid="{D5CDD505-2E9C-101B-9397-08002B2CF9AE}" pid="7" name="MSIP_Label_9108d454-5c13-4905-93be-12ec8059c842_SiteId">
    <vt:lpwstr>473672ba-cd07-4371-a2ae-788b4c61840e</vt:lpwstr>
  </property>
  <property fmtid="{D5CDD505-2E9C-101B-9397-08002B2CF9AE}" pid="8" name="MSIP_Label_9108d454-5c13-4905-93be-12ec8059c842_ActionId">
    <vt:lpwstr>45441b31-8afb-4007-9ade-1fd4cdca5dfd</vt:lpwstr>
  </property>
  <property fmtid="{D5CDD505-2E9C-101B-9397-08002B2CF9AE}" pid="9" name="MSIP_Label_9108d454-5c13-4905-93be-12ec8059c842_ContentBits">
    <vt:lpwstr>2</vt:lpwstr>
  </property>
  <property fmtid="{D5CDD505-2E9C-101B-9397-08002B2CF9AE}" pid="10" name="MSIP_Label_15394ae5-69af-439d-af88-cb521c31c0c5_Enabled">
    <vt:lpwstr>true</vt:lpwstr>
  </property>
  <property fmtid="{D5CDD505-2E9C-101B-9397-08002B2CF9AE}" pid="11" name="MSIP_Label_15394ae5-69af-439d-af88-cb521c31c0c5_SetDate">
    <vt:lpwstr>2026-01-02T09:52:42Z</vt:lpwstr>
  </property>
  <property fmtid="{D5CDD505-2E9C-101B-9397-08002B2CF9AE}" pid="12" name="MSIP_Label_15394ae5-69af-439d-af88-cb521c31c0c5_Method">
    <vt:lpwstr>Standard</vt:lpwstr>
  </property>
  <property fmtid="{D5CDD505-2E9C-101B-9397-08002B2CF9AE}" pid="13" name="MSIP_Label_15394ae5-69af-439d-af88-cb521c31c0c5_Name">
    <vt:lpwstr>DXC Internal</vt:lpwstr>
  </property>
  <property fmtid="{D5CDD505-2E9C-101B-9397-08002B2CF9AE}" pid="14" name="MSIP_Label_15394ae5-69af-439d-af88-cb521c31c0c5_SiteId">
    <vt:lpwstr>93f33571-550f-43cf-b09f-cd331338d086</vt:lpwstr>
  </property>
  <property fmtid="{D5CDD505-2E9C-101B-9397-08002B2CF9AE}" pid="15" name="MSIP_Label_15394ae5-69af-439d-af88-cb521c31c0c5_ActionId">
    <vt:lpwstr>8872628f-2643-471e-81d7-5f2f808ad4d4</vt:lpwstr>
  </property>
  <property fmtid="{D5CDD505-2E9C-101B-9397-08002B2CF9AE}" pid="16" name="MSIP_Label_15394ae5-69af-439d-af88-cb521c31c0c5_ContentBits">
    <vt:lpwstr>0</vt:lpwstr>
  </property>
  <property fmtid="{D5CDD505-2E9C-101B-9397-08002B2CF9AE}" pid="17" name="MSIP_Label_15394ae5-69af-439d-af88-cb521c31c0c5_Tag">
    <vt:lpwstr>10, 3, 0, 1</vt:lpwstr>
  </property>
</Properties>
</file>